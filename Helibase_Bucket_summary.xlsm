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irenet365-my.sharepoint.com/personal/james_lilly_firenet_gov/Documents/2025_spread_sheets/"/>
    </mc:Choice>
  </mc:AlternateContent>
  <xr:revisionPtr revIDLastSave="420" documentId="13_ncr:1_{2871F9FC-1B88-463A-AD14-6F06C9F65A39}" xr6:coauthVersionLast="47" xr6:coauthVersionMax="47" xr10:uidLastSave="{5AA3ABBD-A975-4240-B9F0-5ECE94CED8CC}"/>
  <bookViews>
    <workbookView xWindow="-120" yWindow="-120" windowWidth="29040" windowHeight="15720" tabRatio="763" activeTab="3" xr2:uid="{0DFFFCA1-C5DF-4FAE-AD34-4126F4003ED3}"/>
  </bookViews>
  <sheets>
    <sheet name="Helibase_Master_Sheet" sheetId="5" r:id="rId1"/>
    <sheet name="Fire to Dip Grid" sheetId="8" r:id="rId2"/>
    <sheet name="Start" sheetId="13" r:id="rId3"/>
    <sheet name="Templet" sheetId="21" r:id="rId4"/>
    <sheet name="Sep_ 7" sheetId="22" r:id="rId5"/>
    <sheet name="Sep8th" sheetId="18" r:id="rId6"/>
    <sheet name="Sep9th" sheetId="17" r:id="rId7"/>
    <sheet name="Sep10th" sheetId="16" r:id="rId8"/>
    <sheet name="Sep11th" sheetId="15" r:id="rId9"/>
    <sheet name="Sep12th " sheetId="9" r:id="rId10"/>
    <sheet name="Sep13th" sheetId="11" r:id="rId11"/>
    <sheet name="Sep14th" sheetId="19" r:id="rId12"/>
    <sheet name="End" sheetId="12" r:id="rId13"/>
    <sheet name="Background data sheet ignore" sheetId="6" r:id="rId14"/>
  </sheets>
  <definedNames>
    <definedName name="_xleta.SHEET" hidden="1" xlm="1">#NAME?</definedName>
    <definedName name="_xleta.T" hidden="1" xlm="1">#NAME?</definedName>
    <definedName name="_xlpm.colIndex" hidden="1" xlm="1">#NAME?</definedName>
    <definedName name="_xlpm.dataRange" hidden="1" xlm="1">#NAME?</definedName>
    <definedName name="_xlpm.dipName" hidden="1" xlm="1">#NAME?</definedName>
    <definedName name="_xlpm.headerRow" hidden="1" xlm="1">#NAME?</definedName>
    <definedName name="Dips_sites_X_rows">'Fire to Dip Grid'!$B$1:$BW$1</definedName>
    <definedName name="grid_dip_names">'Fire to Dip Grid'!$B$1:$BG$1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4" i="5" l="1"/>
  <c r="AF34" i="22" l="1"/>
  <c r="AE34" i="22"/>
  <c r="AD34" i="22"/>
  <c r="AC34" i="22"/>
  <c r="AF33" i="22"/>
  <c r="AE33" i="22"/>
  <c r="AD33" i="22"/>
  <c r="AC33" i="22"/>
  <c r="AF32" i="22"/>
  <c r="AE32" i="22"/>
  <c r="AD32" i="22"/>
  <c r="AC32" i="22"/>
  <c r="L32" i="22"/>
  <c r="AF31" i="22"/>
  <c r="AE31" i="22"/>
  <c r="AD31" i="22"/>
  <c r="AC31" i="22"/>
  <c r="L31" i="22"/>
  <c r="AF30" i="22"/>
  <c r="AE30" i="22"/>
  <c r="AD30" i="22"/>
  <c r="AC30" i="22"/>
  <c r="L30" i="22"/>
  <c r="AF29" i="22"/>
  <c r="AE29" i="22"/>
  <c r="AD29" i="22"/>
  <c r="AC29" i="22"/>
  <c r="L29" i="22"/>
  <c r="AF28" i="22"/>
  <c r="AE28" i="22"/>
  <c r="AD28" i="22"/>
  <c r="AC28" i="22"/>
  <c r="L28" i="22"/>
  <c r="AF27" i="22"/>
  <c r="AE27" i="22"/>
  <c r="AD27" i="22"/>
  <c r="AC27" i="22"/>
  <c r="L27" i="22"/>
  <c r="AF26" i="22"/>
  <c r="AE26" i="22"/>
  <c r="AD26" i="22"/>
  <c r="AC26" i="22"/>
  <c r="L26" i="22"/>
  <c r="AF25" i="22"/>
  <c r="AE25" i="22"/>
  <c r="AD25" i="22"/>
  <c r="AC25" i="22"/>
  <c r="L25" i="22"/>
  <c r="M24" i="22" s="1"/>
  <c r="AF24" i="22"/>
  <c r="AE24" i="22"/>
  <c r="AD24" i="22"/>
  <c r="AC24" i="22"/>
  <c r="L24" i="22"/>
  <c r="AF23" i="22"/>
  <c r="AE23" i="22"/>
  <c r="AD23" i="22"/>
  <c r="AC23" i="22"/>
  <c r="L23" i="22"/>
  <c r="AF22" i="22"/>
  <c r="AE22" i="22"/>
  <c r="AD22" i="22"/>
  <c r="AC22" i="22"/>
  <c r="L22" i="22"/>
  <c r="AF21" i="22"/>
  <c r="AE21" i="22"/>
  <c r="AD21" i="22"/>
  <c r="AC21" i="22"/>
  <c r="L21" i="22"/>
  <c r="AF20" i="22"/>
  <c r="AE20" i="22"/>
  <c r="AD20" i="22"/>
  <c r="AC20" i="22"/>
  <c r="L20" i="22"/>
  <c r="AF19" i="22"/>
  <c r="AE19" i="22"/>
  <c r="AD19" i="22"/>
  <c r="AC19" i="22"/>
  <c r="L19" i="22"/>
  <c r="AF18" i="22"/>
  <c r="AE18" i="22"/>
  <c r="AD18" i="22"/>
  <c r="AC18" i="22"/>
  <c r="L18" i="22"/>
  <c r="AF17" i="22"/>
  <c r="AE17" i="22"/>
  <c r="AD17" i="22"/>
  <c r="AC17" i="22"/>
  <c r="L17" i="22"/>
  <c r="AF16" i="22"/>
  <c r="AE16" i="22"/>
  <c r="AD16" i="22"/>
  <c r="AC16" i="22"/>
  <c r="L16" i="22"/>
  <c r="AF15" i="22"/>
  <c r="AE15" i="22"/>
  <c r="AD15" i="22"/>
  <c r="AC15" i="22"/>
  <c r="L15" i="22"/>
  <c r="AF14" i="22"/>
  <c r="AE14" i="22"/>
  <c r="AD14" i="22"/>
  <c r="AC14" i="22"/>
  <c r="L14" i="22"/>
  <c r="M14" i="22" s="1"/>
  <c r="AF13" i="22"/>
  <c r="AE13" i="22"/>
  <c r="AD13" i="22"/>
  <c r="AC13" i="22"/>
  <c r="L13" i="22"/>
  <c r="AF12" i="22"/>
  <c r="AE12" i="22"/>
  <c r="AD12" i="22"/>
  <c r="AC12" i="22"/>
  <c r="L12" i="22"/>
  <c r="AF11" i="22"/>
  <c r="AE11" i="22"/>
  <c r="AD11" i="22"/>
  <c r="AC11" i="22"/>
  <c r="L11" i="22"/>
  <c r="L10" i="22"/>
  <c r="L9" i="22"/>
  <c r="L8" i="22"/>
  <c r="AF7" i="22"/>
  <c r="AE7" i="22"/>
  <c r="AD7" i="22"/>
  <c r="AC7" i="22"/>
  <c r="L7" i="22"/>
  <c r="AF6" i="22"/>
  <c r="AE6" i="22"/>
  <c r="AD6" i="22"/>
  <c r="AC6" i="22"/>
  <c r="L6" i="22"/>
  <c r="AF5" i="22"/>
  <c r="AE5" i="22"/>
  <c r="AD5" i="22"/>
  <c r="AC5" i="22"/>
  <c r="L5" i="22"/>
  <c r="AF4" i="22"/>
  <c r="AE4" i="22"/>
  <c r="AD4" i="22"/>
  <c r="AC4" i="22"/>
  <c r="L4" i="22"/>
  <c r="M3" i="22" s="1"/>
  <c r="AF3" i="22"/>
  <c r="AE3" i="22"/>
  <c r="AD3" i="22"/>
  <c r="AC3" i="22"/>
  <c r="L3" i="22"/>
  <c r="AF34" i="21"/>
  <c r="AE34" i="21"/>
  <c r="AD34" i="21"/>
  <c r="AC34" i="21"/>
  <c r="AF33" i="21"/>
  <c r="AE33" i="21"/>
  <c r="AD33" i="21"/>
  <c r="AC33" i="21"/>
  <c r="AF32" i="21"/>
  <c r="AE32" i="21"/>
  <c r="AD32" i="21"/>
  <c r="AC32" i="21"/>
  <c r="L32" i="21"/>
  <c r="AF31" i="21"/>
  <c r="AE31" i="21"/>
  <c r="AD31" i="21"/>
  <c r="AC31" i="21"/>
  <c r="L31" i="21"/>
  <c r="AF30" i="21"/>
  <c r="AE30" i="21"/>
  <c r="AD30" i="21"/>
  <c r="AC30" i="21"/>
  <c r="L30" i="21"/>
  <c r="AF29" i="21"/>
  <c r="AE29" i="21"/>
  <c r="AD29" i="21"/>
  <c r="AC29" i="21"/>
  <c r="L29" i="21"/>
  <c r="AF28" i="21"/>
  <c r="AE28" i="21"/>
  <c r="AD28" i="21"/>
  <c r="AC28" i="21"/>
  <c r="L28" i="21"/>
  <c r="AF27" i="21"/>
  <c r="AE27" i="21"/>
  <c r="AD27" i="21"/>
  <c r="AC27" i="21"/>
  <c r="L27" i="21"/>
  <c r="AF26" i="21"/>
  <c r="AE26" i="21"/>
  <c r="AD26" i="21"/>
  <c r="AC26" i="21"/>
  <c r="L26" i="21"/>
  <c r="AF25" i="21"/>
  <c r="AE25" i="21"/>
  <c r="AD25" i="21"/>
  <c r="AC25" i="21"/>
  <c r="L25" i="21"/>
  <c r="AF24" i="21"/>
  <c r="AE24" i="21"/>
  <c r="AD24" i="21"/>
  <c r="AC24" i="21"/>
  <c r="L24" i="21"/>
  <c r="AF23" i="21"/>
  <c r="AE23" i="21"/>
  <c r="AD23" i="21"/>
  <c r="AC23" i="21"/>
  <c r="L23" i="21"/>
  <c r="AF22" i="21"/>
  <c r="AE22" i="21"/>
  <c r="AD22" i="21"/>
  <c r="AC22" i="21"/>
  <c r="L22" i="21"/>
  <c r="AF21" i="21"/>
  <c r="AE21" i="21"/>
  <c r="AD21" i="21"/>
  <c r="AC21" i="21"/>
  <c r="L21" i="21"/>
  <c r="AF20" i="21"/>
  <c r="AE20" i="21"/>
  <c r="AD20" i="21"/>
  <c r="AC20" i="21"/>
  <c r="L20" i="21"/>
  <c r="AF19" i="21"/>
  <c r="AE19" i="21"/>
  <c r="AD19" i="21"/>
  <c r="AC19" i="21"/>
  <c r="L19" i="21"/>
  <c r="AF18" i="21"/>
  <c r="AE18" i="21"/>
  <c r="AD18" i="21"/>
  <c r="AC18" i="21"/>
  <c r="L18" i="21"/>
  <c r="AF17" i="21"/>
  <c r="AE17" i="21"/>
  <c r="AD17" i="21"/>
  <c r="AC17" i="21"/>
  <c r="L17" i="21"/>
  <c r="AF16" i="21"/>
  <c r="AE16" i="21"/>
  <c r="AD16" i="21"/>
  <c r="AC16" i="21"/>
  <c r="L16" i="21"/>
  <c r="AF15" i="21"/>
  <c r="AE15" i="21"/>
  <c r="AD15" i="21"/>
  <c r="AC15" i="21"/>
  <c r="L15" i="21"/>
  <c r="AF14" i="21"/>
  <c r="AE14" i="21"/>
  <c r="AD14" i="21"/>
  <c r="AC14" i="21"/>
  <c r="L14" i="21"/>
  <c r="AF13" i="21"/>
  <c r="AE13" i="21"/>
  <c r="AD13" i="21"/>
  <c r="AC13" i="21"/>
  <c r="L13" i="21"/>
  <c r="AF12" i="21"/>
  <c r="AE12" i="21"/>
  <c r="AD12" i="21"/>
  <c r="AC12" i="21"/>
  <c r="L12" i="21"/>
  <c r="AF11" i="21"/>
  <c r="AE11" i="21"/>
  <c r="AD11" i="21"/>
  <c r="AC11" i="21"/>
  <c r="L11" i="21"/>
  <c r="L10" i="21"/>
  <c r="L9" i="21"/>
  <c r="L8" i="21"/>
  <c r="AF7" i="21"/>
  <c r="AE7" i="21"/>
  <c r="AD7" i="21"/>
  <c r="AC7" i="21"/>
  <c r="L7" i="21"/>
  <c r="AF6" i="21"/>
  <c r="AE6" i="21"/>
  <c r="AD6" i="21"/>
  <c r="AC6" i="21"/>
  <c r="L6" i="21"/>
  <c r="AF5" i="21"/>
  <c r="AE5" i="21"/>
  <c r="AD5" i="21"/>
  <c r="AC5" i="21"/>
  <c r="L5" i="21"/>
  <c r="AF4" i="21"/>
  <c r="AE4" i="21"/>
  <c r="AD4" i="21"/>
  <c r="AC4" i="21"/>
  <c r="L4" i="21"/>
  <c r="AF3" i="21"/>
  <c r="AE3" i="21"/>
  <c r="AD3" i="21"/>
  <c r="AC3" i="21"/>
  <c r="L3" i="21"/>
  <c r="M3" i="21" s="1"/>
  <c r="N46" i="19"/>
  <c r="AF41" i="19"/>
  <c r="AE41" i="19"/>
  <c r="AD41" i="19"/>
  <c r="AC41" i="19"/>
  <c r="L41" i="19"/>
  <c r="AF40" i="19"/>
  <c r="AE40" i="19"/>
  <c r="AD40" i="19"/>
  <c r="AC40" i="19"/>
  <c r="L40" i="19"/>
  <c r="AF39" i="19"/>
  <c r="AE39" i="19"/>
  <c r="AD39" i="19"/>
  <c r="AC39" i="19"/>
  <c r="L39" i="19"/>
  <c r="AF38" i="19"/>
  <c r="AE38" i="19"/>
  <c r="AD38" i="19"/>
  <c r="AC38" i="19"/>
  <c r="L38" i="19"/>
  <c r="AF37" i="19"/>
  <c r="AE37" i="19"/>
  <c r="AD37" i="19"/>
  <c r="AC37" i="19"/>
  <c r="L37" i="19"/>
  <c r="AF36" i="19"/>
  <c r="AE36" i="19"/>
  <c r="AD36" i="19"/>
  <c r="AC36" i="19"/>
  <c r="L36" i="19"/>
  <c r="AF35" i="19"/>
  <c r="AE35" i="19"/>
  <c r="AD35" i="19"/>
  <c r="AC35" i="19"/>
  <c r="P35" i="19"/>
  <c r="L35" i="19"/>
  <c r="AF34" i="19"/>
  <c r="AE34" i="19"/>
  <c r="AD34" i="19"/>
  <c r="AC34" i="19"/>
  <c r="L34" i="19"/>
  <c r="AF33" i="19"/>
  <c r="AE33" i="19"/>
  <c r="AD33" i="19"/>
  <c r="AC33" i="19"/>
  <c r="L33" i="19"/>
  <c r="AF32" i="19"/>
  <c r="AE32" i="19"/>
  <c r="AD32" i="19"/>
  <c r="AC32" i="19"/>
  <c r="L32" i="19"/>
  <c r="AF31" i="19"/>
  <c r="AE31" i="19"/>
  <c r="AD31" i="19"/>
  <c r="AC31" i="19"/>
  <c r="L31" i="19"/>
  <c r="AF30" i="19"/>
  <c r="AE30" i="19"/>
  <c r="AD30" i="19"/>
  <c r="AC30" i="19"/>
  <c r="L30" i="19"/>
  <c r="AF29" i="19"/>
  <c r="AE29" i="19"/>
  <c r="AD29" i="19"/>
  <c r="AC29" i="19"/>
  <c r="L29" i="19"/>
  <c r="AF28" i="19"/>
  <c r="AE28" i="19"/>
  <c r="AD28" i="19"/>
  <c r="AC28" i="19"/>
  <c r="L28" i="19"/>
  <c r="AF27" i="19"/>
  <c r="AE27" i="19"/>
  <c r="AD27" i="19"/>
  <c r="AC27" i="19"/>
  <c r="L27" i="19"/>
  <c r="AF26" i="19"/>
  <c r="AE26" i="19"/>
  <c r="AD26" i="19"/>
  <c r="AC26" i="19"/>
  <c r="L26" i="19"/>
  <c r="AF25" i="19"/>
  <c r="AE25" i="19"/>
  <c r="AD25" i="19"/>
  <c r="AC25" i="19"/>
  <c r="L25" i="19"/>
  <c r="AF24" i="19"/>
  <c r="AE24" i="19"/>
  <c r="AD24" i="19"/>
  <c r="AC24" i="19"/>
  <c r="L24" i="19"/>
  <c r="AF23" i="19"/>
  <c r="AE23" i="19"/>
  <c r="AD23" i="19"/>
  <c r="AC23" i="19"/>
  <c r="L23" i="19"/>
  <c r="AF22" i="19"/>
  <c r="AE22" i="19"/>
  <c r="AD22" i="19"/>
  <c r="AC22" i="19"/>
  <c r="L22" i="19"/>
  <c r="AF21" i="19"/>
  <c r="AE21" i="19"/>
  <c r="AD21" i="19"/>
  <c r="AC21" i="19"/>
  <c r="L21" i="19"/>
  <c r="AF20" i="19"/>
  <c r="AE20" i="19"/>
  <c r="AD20" i="19"/>
  <c r="AC20" i="19"/>
  <c r="L20" i="19"/>
  <c r="AF19" i="19"/>
  <c r="AE19" i="19"/>
  <c r="AD19" i="19"/>
  <c r="AC19" i="19"/>
  <c r="L19" i="19"/>
  <c r="AF18" i="19"/>
  <c r="AE18" i="19"/>
  <c r="AD18" i="19"/>
  <c r="AC18" i="19"/>
  <c r="L18" i="19"/>
  <c r="AF17" i="19"/>
  <c r="AE17" i="19"/>
  <c r="AD17" i="19"/>
  <c r="AC17" i="19"/>
  <c r="L17" i="19"/>
  <c r="AF16" i="19"/>
  <c r="AE16" i="19"/>
  <c r="AD16" i="19"/>
  <c r="AC16" i="19"/>
  <c r="L16" i="19"/>
  <c r="AF15" i="19"/>
  <c r="AE15" i="19"/>
  <c r="AD15" i="19"/>
  <c r="AC15" i="19"/>
  <c r="P15" i="19"/>
  <c r="L15" i="19"/>
  <c r="M15" i="19" s="1"/>
  <c r="AF14" i="19"/>
  <c r="AE14" i="19"/>
  <c r="AD14" i="19"/>
  <c r="AC14" i="19"/>
  <c r="L14" i="19"/>
  <c r="AF13" i="19"/>
  <c r="AE13" i="19"/>
  <c r="AD13" i="19"/>
  <c r="AC13" i="19"/>
  <c r="L13" i="19"/>
  <c r="AF12" i="19"/>
  <c r="AE12" i="19"/>
  <c r="AD12" i="19"/>
  <c r="AC12" i="19"/>
  <c r="L12" i="19"/>
  <c r="AF11" i="19"/>
  <c r="AE11" i="19"/>
  <c r="AD11" i="19"/>
  <c r="AC11" i="19"/>
  <c r="L11" i="19"/>
  <c r="L10" i="19"/>
  <c r="L9" i="19"/>
  <c r="L8" i="19"/>
  <c r="AF7" i="19"/>
  <c r="AE7" i="19"/>
  <c r="AD7" i="19"/>
  <c r="AC7" i="19"/>
  <c r="L7" i="19"/>
  <c r="AF6" i="19"/>
  <c r="AE6" i="19"/>
  <c r="AD6" i="19"/>
  <c r="AC6" i="19"/>
  <c r="L6" i="19"/>
  <c r="AF5" i="19"/>
  <c r="AE5" i="19"/>
  <c r="AD5" i="19"/>
  <c r="AC5" i="19"/>
  <c r="L5" i="19"/>
  <c r="AF4" i="19"/>
  <c r="AE4" i="19"/>
  <c r="AD4" i="19"/>
  <c r="AC4" i="19"/>
  <c r="L4" i="19"/>
  <c r="AF3" i="19"/>
  <c r="AE3" i="19"/>
  <c r="AD3" i="19"/>
  <c r="AC3" i="19"/>
  <c r="L3" i="19"/>
  <c r="M3" i="19" s="1"/>
  <c r="AC35" i="11"/>
  <c r="AD35" i="11"/>
  <c r="AE35" i="11"/>
  <c r="AF35" i="11"/>
  <c r="AC36" i="11"/>
  <c r="AD36" i="11"/>
  <c r="AE36" i="11"/>
  <c r="AF36" i="11"/>
  <c r="AC37" i="11"/>
  <c r="AD37" i="11"/>
  <c r="AE37" i="11"/>
  <c r="AF37" i="11"/>
  <c r="AC38" i="11"/>
  <c r="AD38" i="11"/>
  <c r="AE38" i="11"/>
  <c r="AF38" i="11"/>
  <c r="AC39" i="11"/>
  <c r="AD39" i="11"/>
  <c r="AE39" i="11"/>
  <c r="AF39" i="11"/>
  <c r="AC40" i="11"/>
  <c r="AD40" i="11"/>
  <c r="AE40" i="11"/>
  <c r="AF40" i="11"/>
  <c r="AC41" i="11"/>
  <c r="AD41" i="11"/>
  <c r="AE41" i="11"/>
  <c r="AF41" i="11"/>
  <c r="D6" i="5"/>
  <c r="P35" i="11"/>
  <c r="D5" i="5"/>
  <c r="D4" i="5"/>
  <c r="D3" i="5"/>
  <c r="F5" i="5"/>
  <c r="P15" i="11"/>
  <c r="L33" i="11"/>
  <c r="L34" i="11"/>
  <c r="L35" i="11"/>
  <c r="L36" i="11"/>
  <c r="L37" i="11"/>
  <c r="L38" i="11"/>
  <c r="L39" i="11"/>
  <c r="L40" i="11"/>
  <c r="L41" i="11"/>
  <c r="AF34" i="18"/>
  <c r="AE34" i="18"/>
  <c r="AD34" i="18"/>
  <c r="AC34" i="18"/>
  <c r="AF33" i="18"/>
  <c r="AE33" i="18"/>
  <c r="AD33" i="18"/>
  <c r="AC33" i="18"/>
  <c r="AF32" i="18"/>
  <c r="AE32" i="18"/>
  <c r="AD32" i="18"/>
  <c r="AC32" i="18"/>
  <c r="L32" i="18"/>
  <c r="AF31" i="18"/>
  <c r="AE31" i="18"/>
  <c r="AD31" i="18"/>
  <c r="AC31" i="18"/>
  <c r="L31" i="18"/>
  <c r="AF30" i="18"/>
  <c r="AE30" i="18"/>
  <c r="AD30" i="18"/>
  <c r="AC30" i="18"/>
  <c r="L30" i="18"/>
  <c r="AF29" i="18"/>
  <c r="AE29" i="18"/>
  <c r="AD29" i="18"/>
  <c r="AC29" i="18"/>
  <c r="L29" i="18"/>
  <c r="AF28" i="18"/>
  <c r="AE28" i="18"/>
  <c r="AD28" i="18"/>
  <c r="AC28" i="18"/>
  <c r="L28" i="18"/>
  <c r="AF27" i="18"/>
  <c r="AE27" i="18"/>
  <c r="AD27" i="18"/>
  <c r="AC27" i="18"/>
  <c r="L27" i="18"/>
  <c r="AF26" i="18"/>
  <c r="AE26" i="18"/>
  <c r="AD26" i="18"/>
  <c r="AC26" i="18"/>
  <c r="L26" i="18"/>
  <c r="AF25" i="18"/>
  <c r="AE25" i="18"/>
  <c r="AD25" i="18"/>
  <c r="AC25" i="18"/>
  <c r="L25" i="18"/>
  <c r="AF24" i="18"/>
  <c r="AE24" i="18"/>
  <c r="AD24" i="18"/>
  <c r="AC24" i="18"/>
  <c r="L24" i="18"/>
  <c r="AF23" i="18"/>
  <c r="AE23" i="18"/>
  <c r="AD23" i="18"/>
  <c r="AC23" i="18"/>
  <c r="L23" i="18"/>
  <c r="AF22" i="18"/>
  <c r="AE22" i="18"/>
  <c r="AD22" i="18"/>
  <c r="AC22" i="18"/>
  <c r="L22" i="18"/>
  <c r="AF21" i="18"/>
  <c r="AE21" i="18"/>
  <c r="AD21" i="18"/>
  <c r="AC21" i="18"/>
  <c r="L21" i="18"/>
  <c r="AF20" i="18"/>
  <c r="AE20" i="18"/>
  <c r="AD20" i="18"/>
  <c r="AC20" i="18"/>
  <c r="L20" i="18"/>
  <c r="AF19" i="18"/>
  <c r="AE19" i="18"/>
  <c r="AD19" i="18"/>
  <c r="AC19" i="18"/>
  <c r="L19" i="18"/>
  <c r="AF18" i="18"/>
  <c r="AE18" i="18"/>
  <c r="AD18" i="18"/>
  <c r="AC18" i="18"/>
  <c r="L18" i="18"/>
  <c r="AF17" i="18"/>
  <c r="AE17" i="18"/>
  <c r="AD17" i="18"/>
  <c r="AC17" i="18"/>
  <c r="L17" i="18"/>
  <c r="AF16" i="18"/>
  <c r="AE16" i="18"/>
  <c r="AD16" i="18"/>
  <c r="AC16" i="18"/>
  <c r="L16" i="18"/>
  <c r="AF15" i="18"/>
  <c r="AE15" i="18"/>
  <c r="AD15" i="18"/>
  <c r="AC15" i="18"/>
  <c r="L15" i="18"/>
  <c r="AF14" i="18"/>
  <c r="AE14" i="18"/>
  <c r="AD14" i="18"/>
  <c r="AC14" i="18"/>
  <c r="L14" i="18"/>
  <c r="AF13" i="18"/>
  <c r="AE13" i="18"/>
  <c r="AD13" i="18"/>
  <c r="AC13" i="18"/>
  <c r="L13" i="18"/>
  <c r="AF12" i="18"/>
  <c r="AE12" i="18"/>
  <c r="AD12" i="18"/>
  <c r="AC12" i="18"/>
  <c r="L12" i="18"/>
  <c r="AF11" i="18"/>
  <c r="AE11" i="18"/>
  <c r="AD11" i="18"/>
  <c r="AC11" i="18"/>
  <c r="L11" i="18"/>
  <c r="L10" i="18"/>
  <c r="L9" i="18"/>
  <c r="L8" i="18"/>
  <c r="AF7" i="18"/>
  <c r="AE7" i="18"/>
  <c r="AD7" i="18"/>
  <c r="AC7" i="18"/>
  <c r="L7" i="18"/>
  <c r="AF6" i="18"/>
  <c r="AE6" i="18"/>
  <c r="AD6" i="18"/>
  <c r="AC6" i="18"/>
  <c r="L6" i="18"/>
  <c r="AF5" i="18"/>
  <c r="AE5" i="18"/>
  <c r="AD5" i="18"/>
  <c r="AC5" i="18"/>
  <c r="L5" i="18"/>
  <c r="AF4" i="18"/>
  <c r="AE4" i="18"/>
  <c r="AD4" i="18"/>
  <c r="AC4" i="18"/>
  <c r="L4" i="18"/>
  <c r="AF3" i="18"/>
  <c r="AE3" i="18"/>
  <c r="AD3" i="18"/>
  <c r="AC3" i="18"/>
  <c r="L3" i="18"/>
  <c r="M3" i="18" s="1"/>
  <c r="AF34" i="17"/>
  <c r="AE34" i="17"/>
  <c r="AD34" i="17"/>
  <c r="AC34" i="17"/>
  <c r="AF33" i="17"/>
  <c r="AE33" i="17"/>
  <c r="AD33" i="17"/>
  <c r="AC33" i="17"/>
  <c r="AF32" i="17"/>
  <c r="AE32" i="17"/>
  <c r="AD32" i="17"/>
  <c r="AC32" i="17"/>
  <c r="L32" i="17"/>
  <c r="AF31" i="17"/>
  <c r="AE31" i="17"/>
  <c r="AD31" i="17"/>
  <c r="AC31" i="17"/>
  <c r="L31" i="17"/>
  <c r="AF30" i="17"/>
  <c r="AE30" i="17"/>
  <c r="AD30" i="17"/>
  <c r="AC30" i="17"/>
  <c r="L30" i="17"/>
  <c r="AF29" i="17"/>
  <c r="AE29" i="17"/>
  <c r="AD29" i="17"/>
  <c r="AC29" i="17"/>
  <c r="L29" i="17"/>
  <c r="AF28" i="17"/>
  <c r="AE28" i="17"/>
  <c r="AD28" i="17"/>
  <c r="AC28" i="17"/>
  <c r="L28" i="17"/>
  <c r="AF27" i="17"/>
  <c r="AE27" i="17"/>
  <c r="AD27" i="17"/>
  <c r="AC27" i="17"/>
  <c r="L27" i="17"/>
  <c r="AF26" i="17"/>
  <c r="AE26" i="17"/>
  <c r="AD26" i="17"/>
  <c r="AC26" i="17"/>
  <c r="L26" i="17"/>
  <c r="AF25" i="17"/>
  <c r="AE25" i="17"/>
  <c r="AD25" i="17"/>
  <c r="AC25" i="17"/>
  <c r="L25" i="17"/>
  <c r="AF24" i="17"/>
  <c r="AE24" i="17"/>
  <c r="AD24" i="17"/>
  <c r="AC24" i="17"/>
  <c r="L24" i="17"/>
  <c r="M24" i="17" s="1"/>
  <c r="AF23" i="17"/>
  <c r="AE23" i="17"/>
  <c r="AD23" i="17"/>
  <c r="AC23" i="17"/>
  <c r="L23" i="17"/>
  <c r="AF22" i="17"/>
  <c r="AE22" i="17"/>
  <c r="AD22" i="17"/>
  <c r="AC22" i="17"/>
  <c r="L22" i="17"/>
  <c r="AF21" i="17"/>
  <c r="AE21" i="17"/>
  <c r="AD21" i="17"/>
  <c r="AC21" i="17"/>
  <c r="L21" i="17"/>
  <c r="AF20" i="17"/>
  <c r="AE20" i="17"/>
  <c r="AD20" i="17"/>
  <c r="AC20" i="17"/>
  <c r="L20" i="17"/>
  <c r="AF19" i="17"/>
  <c r="AE19" i="17"/>
  <c r="AD19" i="17"/>
  <c r="AC19" i="17"/>
  <c r="L19" i="17"/>
  <c r="AF18" i="17"/>
  <c r="AE18" i="17"/>
  <c r="AD18" i="17"/>
  <c r="AC18" i="17"/>
  <c r="L18" i="17"/>
  <c r="AF17" i="17"/>
  <c r="AE17" i="17"/>
  <c r="AD17" i="17"/>
  <c r="AC17" i="17"/>
  <c r="L17" i="17"/>
  <c r="AF16" i="17"/>
  <c r="AE16" i="17"/>
  <c r="AD16" i="17"/>
  <c r="AC16" i="17"/>
  <c r="L16" i="17"/>
  <c r="AF15" i="17"/>
  <c r="AE15" i="17"/>
  <c r="AD15" i="17"/>
  <c r="AC15" i="17"/>
  <c r="L15" i="17"/>
  <c r="AF14" i="17"/>
  <c r="AE14" i="17"/>
  <c r="AD14" i="17"/>
  <c r="AC14" i="17"/>
  <c r="L14" i="17"/>
  <c r="M14" i="17" s="1"/>
  <c r="AF13" i="17"/>
  <c r="AE13" i="17"/>
  <c r="AD13" i="17"/>
  <c r="AC13" i="17"/>
  <c r="L13" i="17"/>
  <c r="AF12" i="17"/>
  <c r="AE12" i="17"/>
  <c r="AD12" i="17"/>
  <c r="AC12" i="17"/>
  <c r="L12" i="17"/>
  <c r="AF11" i="17"/>
  <c r="AE11" i="17"/>
  <c r="AD11" i="17"/>
  <c r="AC11" i="17"/>
  <c r="L11" i="17"/>
  <c r="L10" i="17"/>
  <c r="L9" i="17"/>
  <c r="L8" i="17"/>
  <c r="AF7" i="17"/>
  <c r="AE7" i="17"/>
  <c r="AD7" i="17"/>
  <c r="AC7" i="17"/>
  <c r="L7" i="17"/>
  <c r="AF6" i="17"/>
  <c r="AE6" i="17"/>
  <c r="AD6" i="17"/>
  <c r="AC6" i="17"/>
  <c r="L6" i="17"/>
  <c r="AF5" i="17"/>
  <c r="AE5" i="17"/>
  <c r="AD5" i="17"/>
  <c r="AC5" i="17"/>
  <c r="L5" i="17"/>
  <c r="AF4" i="17"/>
  <c r="AE4" i="17"/>
  <c r="AD4" i="17"/>
  <c r="AC4" i="17"/>
  <c r="L4" i="17"/>
  <c r="AF3" i="17"/>
  <c r="AE3" i="17"/>
  <c r="AD3" i="17"/>
  <c r="AC3" i="17"/>
  <c r="L3" i="17"/>
  <c r="M3" i="17" s="1"/>
  <c r="N3" i="17" s="1"/>
  <c r="AF34" i="16"/>
  <c r="AE34" i="16"/>
  <c r="AD34" i="16"/>
  <c r="AC34" i="16"/>
  <c r="AF33" i="16"/>
  <c r="AE33" i="16"/>
  <c r="AD33" i="16"/>
  <c r="AC33" i="16"/>
  <c r="AF32" i="16"/>
  <c r="AE32" i="16"/>
  <c r="AD32" i="16"/>
  <c r="AC32" i="16"/>
  <c r="L32" i="16"/>
  <c r="AF31" i="16"/>
  <c r="AE31" i="16"/>
  <c r="AD31" i="16"/>
  <c r="AC31" i="16"/>
  <c r="L31" i="16"/>
  <c r="AF30" i="16"/>
  <c r="AE30" i="16"/>
  <c r="AD30" i="16"/>
  <c r="AC30" i="16"/>
  <c r="L30" i="16"/>
  <c r="AF29" i="16"/>
  <c r="AE29" i="16"/>
  <c r="AD29" i="16"/>
  <c r="AC29" i="16"/>
  <c r="L29" i="16"/>
  <c r="AF28" i="16"/>
  <c r="AE28" i="16"/>
  <c r="AD28" i="16"/>
  <c r="AC28" i="16"/>
  <c r="L28" i="16"/>
  <c r="AF27" i="16"/>
  <c r="AE27" i="16"/>
  <c r="AD27" i="16"/>
  <c r="AC27" i="16"/>
  <c r="L27" i="16"/>
  <c r="AF26" i="16"/>
  <c r="AE26" i="16"/>
  <c r="AD26" i="16"/>
  <c r="AC26" i="16"/>
  <c r="L26" i="16"/>
  <c r="AF25" i="16"/>
  <c r="AE25" i="16"/>
  <c r="AD25" i="16"/>
  <c r="AC25" i="16"/>
  <c r="L25" i="16"/>
  <c r="AF24" i="16"/>
  <c r="AE24" i="16"/>
  <c r="AD24" i="16"/>
  <c r="AC24" i="16"/>
  <c r="L24" i="16"/>
  <c r="AF23" i="16"/>
  <c r="AE23" i="16"/>
  <c r="AD23" i="16"/>
  <c r="AC23" i="16"/>
  <c r="L23" i="16"/>
  <c r="AF22" i="16"/>
  <c r="AE22" i="16"/>
  <c r="AD22" i="16"/>
  <c r="AC22" i="16"/>
  <c r="L22" i="16"/>
  <c r="AF21" i="16"/>
  <c r="AE21" i="16"/>
  <c r="AD21" i="16"/>
  <c r="AC21" i="16"/>
  <c r="L21" i="16"/>
  <c r="AF20" i="16"/>
  <c r="AE20" i="16"/>
  <c r="AD20" i="16"/>
  <c r="AC20" i="16"/>
  <c r="L20" i="16"/>
  <c r="AF19" i="16"/>
  <c r="AE19" i="16"/>
  <c r="AD19" i="16"/>
  <c r="AC19" i="16"/>
  <c r="L19" i="16"/>
  <c r="AF18" i="16"/>
  <c r="AE18" i="16"/>
  <c r="AD18" i="16"/>
  <c r="AC18" i="16"/>
  <c r="L18" i="16"/>
  <c r="AF17" i="16"/>
  <c r="AE17" i="16"/>
  <c r="AD17" i="16"/>
  <c r="AC17" i="16"/>
  <c r="L17" i="16"/>
  <c r="AF16" i="16"/>
  <c r="AE16" i="16"/>
  <c r="AD16" i="16"/>
  <c r="AC16" i="16"/>
  <c r="L16" i="16"/>
  <c r="AF15" i="16"/>
  <c r="AE15" i="16"/>
  <c r="AD15" i="16"/>
  <c r="AC15" i="16"/>
  <c r="L15" i="16"/>
  <c r="AF14" i="16"/>
  <c r="AE14" i="16"/>
  <c r="AD14" i="16"/>
  <c r="AC14" i="16"/>
  <c r="L14" i="16"/>
  <c r="AF13" i="16"/>
  <c r="AE13" i="16"/>
  <c r="AD13" i="16"/>
  <c r="AC13" i="16"/>
  <c r="L13" i="16"/>
  <c r="AF12" i="16"/>
  <c r="AE12" i="16"/>
  <c r="AD12" i="16"/>
  <c r="AC12" i="16"/>
  <c r="L12" i="16"/>
  <c r="AF11" i="16"/>
  <c r="AE11" i="16"/>
  <c r="AD11" i="16"/>
  <c r="AC11" i="16"/>
  <c r="L11" i="16"/>
  <c r="L10" i="16"/>
  <c r="L9" i="16"/>
  <c r="L8" i="16"/>
  <c r="AF7" i="16"/>
  <c r="AE7" i="16"/>
  <c r="AD7" i="16"/>
  <c r="AC7" i="16"/>
  <c r="L7" i="16"/>
  <c r="AF6" i="16"/>
  <c r="AE6" i="16"/>
  <c r="AD6" i="16"/>
  <c r="AC6" i="16"/>
  <c r="L6" i="16"/>
  <c r="AF5" i="16"/>
  <c r="AE5" i="16"/>
  <c r="AD5" i="16"/>
  <c r="AC5" i="16"/>
  <c r="L5" i="16"/>
  <c r="AF4" i="16"/>
  <c r="AE4" i="16"/>
  <c r="AD4" i="16"/>
  <c r="AC4" i="16"/>
  <c r="L4" i="16"/>
  <c r="AF3" i="16"/>
  <c r="AE3" i="16"/>
  <c r="AD3" i="16"/>
  <c r="AC3" i="16"/>
  <c r="L3" i="16"/>
  <c r="M3" i="16" s="1"/>
  <c r="AF34" i="15"/>
  <c r="AE34" i="15"/>
  <c r="AD34" i="15"/>
  <c r="AC34" i="15"/>
  <c r="AF33" i="15"/>
  <c r="AE33" i="15"/>
  <c r="AD33" i="15"/>
  <c r="AC33" i="15"/>
  <c r="AF32" i="15"/>
  <c r="AE32" i="15"/>
  <c r="AD32" i="15"/>
  <c r="AC32" i="15"/>
  <c r="L32" i="15"/>
  <c r="AF31" i="15"/>
  <c r="AE31" i="15"/>
  <c r="AD31" i="15"/>
  <c r="AC31" i="15"/>
  <c r="L31" i="15"/>
  <c r="AF30" i="15"/>
  <c r="AE30" i="15"/>
  <c r="AD30" i="15"/>
  <c r="AC30" i="15"/>
  <c r="L30" i="15"/>
  <c r="AF29" i="15"/>
  <c r="AE29" i="15"/>
  <c r="AD29" i="15"/>
  <c r="AC29" i="15"/>
  <c r="L29" i="15"/>
  <c r="AF28" i="15"/>
  <c r="AE28" i="15"/>
  <c r="AD28" i="15"/>
  <c r="AC28" i="15"/>
  <c r="L28" i="15"/>
  <c r="AF27" i="15"/>
  <c r="AE27" i="15"/>
  <c r="AD27" i="15"/>
  <c r="AC27" i="15"/>
  <c r="L27" i="15"/>
  <c r="AF26" i="15"/>
  <c r="AE26" i="15"/>
  <c r="AD26" i="15"/>
  <c r="AC26" i="15"/>
  <c r="L26" i="15"/>
  <c r="AF25" i="15"/>
  <c r="AE25" i="15"/>
  <c r="AD25" i="15"/>
  <c r="AC25" i="15"/>
  <c r="L25" i="15"/>
  <c r="AF24" i="15"/>
  <c r="AE24" i="15"/>
  <c r="AD24" i="15"/>
  <c r="AC24" i="15"/>
  <c r="L24" i="15"/>
  <c r="AF23" i="15"/>
  <c r="AE23" i="15"/>
  <c r="AD23" i="15"/>
  <c r="AC23" i="15"/>
  <c r="L23" i="15"/>
  <c r="AF22" i="15"/>
  <c r="AE22" i="15"/>
  <c r="AD22" i="15"/>
  <c r="AC22" i="15"/>
  <c r="L22" i="15"/>
  <c r="AF21" i="15"/>
  <c r="AE21" i="15"/>
  <c r="AD21" i="15"/>
  <c r="AC21" i="15"/>
  <c r="L21" i="15"/>
  <c r="AF20" i="15"/>
  <c r="AE20" i="15"/>
  <c r="AD20" i="15"/>
  <c r="AC20" i="15"/>
  <c r="L20" i="15"/>
  <c r="AF19" i="15"/>
  <c r="AE19" i="15"/>
  <c r="AD19" i="15"/>
  <c r="AC19" i="15"/>
  <c r="L19" i="15"/>
  <c r="AF18" i="15"/>
  <c r="AE18" i="15"/>
  <c r="AD18" i="15"/>
  <c r="AC18" i="15"/>
  <c r="L18" i="15"/>
  <c r="AF17" i="15"/>
  <c r="AE17" i="15"/>
  <c r="AD17" i="15"/>
  <c r="AC17" i="15"/>
  <c r="L17" i="15"/>
  <c r="AF16" i="15"/>
  <c r="AE16" i="15"/>
  <c r="AD16" i="15"/>
  <c r="AC16" i="15"/>
  <c r="L16" i="15"/>
  <c r="AF15" i="15"/>
  <c r="AE15" i="15"/>
  <c r="AD15" i="15"/>
  <c r="AC15" i="15"/>
  <c r="L15" i="15"/>
  <c r="AF14" i="15"/>
  <c r="AE14" i="15"/>
  <c r="AD14" i="15"/>
  <c r="AC14" i="15"/>
  <c r="L14" i="15"/>
  <c r="AF13" i="15"/>
  <c r="AE13" i="15"/>
  <c r="AD13" i="15"/>
  <c r="AC13" i="15"/>
  <c r="L13" i="15"/>
  <c r="AF12" i="15"/>
  <c r="AE12" i="15"/>
  <c r="AD12" i="15"/>
  <c r="AC12" i="15"/>
  <c r="L12" i="15"/>
  <c r="AF11" i="15"/>
  <c r="AE11" i="15"/>
  <c r="AD11" i="15"/>
  <c r="AC11" i="15"/>
  <c r="L11" i="15"/>
  <c r="L10" i="15"/>
  <c r="L9" i="15"/>
  <c r="L8" i="15"/>
  <c r="AF7" i="15"/>
  <c r="AE7" i="15"/>
  <c r="AD7" i="15"/>
  <c r="AC7" i="15"/>
  <c r="L7" i="15"/>
  <c r="AF6" i="15"/>
  <c r="AE6" i="15"/>
  <c r="AD6" i="15"/>
  <c r="AC6" i="15"/>
  <c r="L6" i="15"/>
  <c r="AF5" i="15"/>
  <c r="AE5" i="15"/>
  <c r="AD5" i="15"/>
  <c r="AC5" i="15"/>
  <c r="L5" i="15"/>
  <c r="AF4" i="15"/>
  <c r="AE4" i="15"/>
  <c r="AD4" i="15"/>
  <c r="AC4" i="15"/>
  <c r="L4" i="15"/>
  <c r="AF3" i="15"/>
  <c r="AE3" i="15"/>
  <c r="AD3" i="15"/>
  <c r="AC3" i="15"/>
  <c r="L3" i="15"/>
  <c r="M3" i="15" s="1"/>
  <c r="AF34" i="11"/>
  <c r="AE34" i="11"/>
  <c r="AD34" i="11"/>
  <c r="AC34" i="11"/>
  <c r="AF33" i="11"/>
  <c r="AE33" i="11"/>
  <c r="AD33" i="11"/>
  <c r="AC33" i="11"/>
  <c r="AF32" i="11"/>
  <c r="AE32" i="11"/>
  <c r="AD32" i="11"/>
  <c r="AC32" i="11"/>
  <c r="L32" i="11"/>
  <c r="AF31" i="11"/>
  <c r="AE31" i="11"/>
  <c r="AD31" i="11"/>
  <c r="AC31" i="11"/>
  <c r="L31" i="11"/>
  <c r="AF30" i="11"/>
  <c r="AE30" i="11"/>
  <c r="AD30" i="11"/>
  <c r="AC30" i="11"/>
  <c r="L30" i="11"/>
  <c r="AF29" i="11"/>
  <c r="AE29" i="11"/>
  <c r="AD29" i="11"/>
  <c r="AC29" i="11"/>
  <c r="L29" i="11"/>
  <c r="AF28" i="11"/>
  <c r="AE28" i="11"/>
  <c r="AD28" i="11"/>
  <c r="AC28" i="11"/>
  <c r="L28" i="11"/>
  <c r="AF27" i="11"/>
  <c r="AE27" i="11"/>
  <c r="AD27" i="11"/>
  <c r="AC27" i="11"/>
  <c r="L27" i="11"/>
  <c r="AF26" i="11"/>
  <c r="AE26" i="11"/>
  <c r="AD26" i="11"/>
  <c r="AC26" i="11"/>
  <c r="L26" i="11"/>
  <c r="AF25" i="11"/>
  <c r="AE25" i="11"/>
  <c r="AD25" i="11"/>
  <c r="AC25" i="11"/>
  <c r="L25" i="11"/>
  <c r="AF24" i="11"/>
  <c r="AE24" i="11"/>
  <c r="AD24" i="11"/>
  <c r="AC24" i="11"/>
  <c r="L24" i="11"/>
  <c r="AF23" i="11"/>
  <c r="AE23" i="11"/>
  <c r="AD23" i="11"/>
  <c r="AC23" i="11"/>
  <c r="L23" i="11"/>
  <c r="AF22" i="11"/>
  <c r="AE22" i="11"/>
  <c r="AD22" i="11"/>
  <c r="AC22" i="11"/>
  <c r="L22" i="11"/>
  <c r="AF21" i="11"/>
  <c r="AE21" i="11"/>
  <c r="AD21" i="11"/>
  <c r="AC21" i="11"/>
  <c r="L21" i="11"/>
  <c r="AF20" i="11"/>
  <c r="AE20" i="11"/>
  <c r="AD20" i="11"/>
  <c r="AC20" i="11"/>
  <c r="L20" i="11"/>
  <c r="AF19" i="11"/>
  <c r="AE19" i="11"/>
  <c r="AD19" i="11"/>
  <c r="AC19" i="11"/>
  <c r="L19" i="11"/>
  <c r="AF18" i="11"/>
  <c r="AE18" i="11"/>
  <c r="AD18" i="11"/>
  <c r="AC18" i="11"/>
  <c r="L18" i="11"/>
  <c r="AF17" i="11"/>
  <c r="AE17" i="11"/>
  <c r="AD17" i="11"/>
  <c r="AC17" i="11"/>
  <c r="L17" i="11"/>
  <c r="AF16" i="11"/>
  <c r="AE16" i="11"/>
  <c r="AD16" i="11"/>
  <c r="AC16" i="11"/>
  <c r="L16" i="11"/>
  <c r="AF15" i="11"/>
  <c r="AE15" i="11"/>
  <c r="AD15" i="11"/>
  <c r="AC15" i="11"/>
  <c r="L15" i="11"/>
  <c r="AF14" i="11"/>
  <c r="AE14" i="11"/>
  <c r="AD14" i="11"/>
  <c r="AC14" i="11"/>
  <c r="L14" i="11"/>
  <c r="M15" i="11" s="1"/>
  <c r="AF13" i="11"/>
  <c r="AE13" i="11"/>
  <c r="AD13" i="11"/>
  <c r="AC13" i="11"/>
  <c r="L13" i="11"/>
  <c r="AF12" i="11"/>
  <c r="AE12" i="11"/>
  <c r="AD12" i="11"/>
  <c r="AC12" i="11"/>
  <c r="L12" i="11"/>
  <c r="AF11" i="11"/>
  <c r="AE11" i="11"/>
  <c r="AD11" i="11"/>
  <c r="AC11" i="11"/>
  <c r="L11" i="11"/>
  <c r="L10" i="11"/>
  <c r="L9" i="11"/>
  <c r="L8" i="11"/>
  <c r="AF7" i="11"/>
  <c r="AE7" i="11"/>
  <c r="AD7" i="11"/>
  <c r="AC7" i="11"/>
  <c r="L7" i="11"/>
  <c r="AF6" i="11"/>
  <c r="AE6" i="11"/>
  <c r="AD6" i="11"/>
  <c r="AC6" i="11"/>
  <c r="L6" i="11"/>
  <c r="AF5" i="11"/>
  <c r="AE5" i="11"/>
  <c r="AD5" i="11"/>
  <c r="AC5" i="11"/>
  <c r="L5" i="11"/>
  <c r="AF4" i="11"/>
  <c r="AE4" i="11"/>
  <c r="AD4" i="11"/>
  <c r="AC4" i="11"/>
  <c r="L4" i="11"/>
  <c r="AF3" i="11"/>
  <c r="AE3" i="11"/>
  <c r="AD3" i="11"/>
  <c r="AC3" i="11"/>
  <c r="L3" i="11"/>
  <c r="M3" i="11" s="1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" i="9"/>
  <c r="AC3" i="9"/>
  <c r="AE4" i="9"/>
  <c r="AF4" i="9"/>
  <c r="AE5" i="9"/>
  <c r="AF5" i="9"/>
  <c r="AE6" i="9"/>
  <c r="AF6" i="9"/>
  <c r="AE7" i="9"/>
  <c r="AF7" i="9"/>
  <c r="AE11" i="9"/>
  <c r="AF11" i="9"/>
  <c r="AE12" i="9"/>
  <c r="AF12" i="9"/>
  <c r="AE13" i="9"/>
  <c r="AF13" i="9"/>
  <c r="AE14" i="9"/>
  <c r="AF14" i="9"/>
  <c r="AE15" i="9"/>
  <c r="AF15" i="9"/>
  <c r="AE16" i="9"/>
  <c r="AF16" i="9"/>
  <c r="AE17" i="9"/>
  <c r="AF17" i="9"/>
  <c r="AE18" i="9"/>
  <c r="AF18" i="9"/>
  <c r="AE19" i="9"/>
  <c r="AF19" i="9"/>
  <c r="AE20" i="9"/>
  <c r="AF20" i="9"/>
  <c r="AE21" i="9"/>
  <c r="AF21" i="9"/>
  <c r="AE22" i="9"/>
  <c r="AF22" i="9"/>
  <c r="AE23" i="9"/>
  <c r="AF23" i="9"/>
  <c r="AE24" i="9"/>
  <c r="AF24" i="9"/>
  <c r="AE25" i="9"/>
  <c r="AF25" i="9"/>
  <c r="AE26" i="9"/>
  <c r="AF26" i="9"/>
  <c r="AE27" i="9"/>
  <c r="AF27" i="9"/>
  <c r="AE28" i="9"/>
  <c r="AF28" i="9"/>
  <c r="AE29" i="9"/>
  <c r="AF29" i="9"/>
  <c r="AE30" i="9"/>
  <c r="AF30" i="9"/>
  <c r="AE31" i="9"/>
  <c r="AF31" i="9"/>
  <c r="AE32" i="9"/>
  <c r="AF32" i="9"/>
  <c r="AE33" i="9"/>
  <c r="AF33" i="9"/>
  <c r="AE34" i="9"/>
  <c r="AF34" i="9"/>
  <c r="AF3" i="9"/>
  <c r="AE3" i="9"/>
  <c r="AD4" i="9"/>
  <c r="AD5" i="9"/>
  <c r="AD6" i="9"/>
  <c r="AD7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" i="9"/>
  <c r="AC32" i="9"/>
  <c r="AC33" i="9"/>
  <c r="AC34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7" i="9"/>
  <c r="AC6" i="9"/>
  <c r="AC5" i="9"/>
  <c r="AC4" i="9"/>
  <c r="N3" i="22" l="1"/>
  <c r="M24" i="21"/>
  <c r="N3" i="21" s="1"/>
  <c r="P6" i="21" s="1"/>
  <c r="M14" i="21"/>
  <c r="M33" i="19"/>
  <c r="M24" i="19"/>
  <c r="M33" i="11"/>
  <c r="M24" i="18"/>
  <c r="N3" i="18" s="1"/>
  <c r="M14" i="18"/>
  <c r="E3" i="5"/>
  <c r="M14" i="15"/>
  <c r="M24" i="16"/>
  <c r="M14" i="16"/>
  <c r="P3" i="17"/>
  <c r="P2" i="17"/>
  <c r="P6" i="17"/>
  <c r="P4" i="17"/>
  <c r="P5" i="17"/>
  <c r="M24" i="15"/>
  <c r="M24" i="11"/>
  <c r="P4" i="22" l="1"/>
  <c r="P3" i="22"/>
  <c r="P6" i="22"/>
  <c r="P2" i="22"/>
  <c r="P5" i="22"/>
  <c r="P4" i="21"/>
  <c r="P3" i="21"/>
  <c r="P5" i="21"/>
  <c r="P2" i="21"/>
  <c r="E6" i="5"/>
  <c r="N3" i="19"/>
  <c r="E5" i="5"/>
  <c r="P4" i="19"/>
  <c r="P3" i="19"/>
  <c r="P5" i="19"/>
  <c r="P6" i="19"/>
  <c r="P2" i="19"/>
  <c r="N3" i="11"/>
  <c r="P4" i="11" s="1"/>
  <c r="P3" i="18"/>
  <c r="P6" i="18"/>
  <c r="P2" i="18"/>
  <c r="P4" i="18"/>
  <c r="P5" i="18"/>
  <c r="N3" i="15"/>
  <c r="E4" i="5"/>
  <c r="N3" i="16"/>
  <c r="P3" i="16" s="1"/>
  <c r="P3" i="15"/>
  <c r="P4" i="15"/>
  <c r="P2" i="15"/>
  <c r="P6" i="15"/>
  <c r="P5" i="15"/>
  <c r="M24" i="9"/>
  <c r="N3" i="9" s="1"/>
  <c r="M14" i="9"/>
  <c r="M3" i="9"/>
  <c r="P3" i="11" l="1"/>
  <c r="P5" i="11"/>
  <c r="P6" i="11"/>
  <c r="P2" i="11"/>
  <c r="F3" i="5"/>
  <c r="P5" i="16"/>
  <c r="P6" i="16"/>
  <c r="P4" i="16"/>
  <c r="P2" i="16"/>
  <c r="P6" i="9"/>
  <c r="P2" i="9" l="1"/>
  <c r="P4" i="9"/>
  <c r="P5" i="9"/>
  <c r="P3" i="9"/>
</calcChain>
</file>

<file path=xl/sharedStrings.xml><?xml version="1.0" encoding="utf-8"?>
<sst xmlns="http://schemas.openxmlformats.org/spreadsheetml/2006/main" count="597" uniqueCount="72">
  <si>
    <t>8CK</t>
  </si>
  <si>
    <t>H-#</t>
  </si>
  <si>
    <t>Fires</t>
  </si>
  <si>
    <t>Gal /shp</t>
  </si>
  <si>
    <t>Volume</t>
  </si>
  <si>
    <t>0CH</t>
  </si>
  <si>
    <t>Buckets \ Tanks</t>
  </si>
  <si>
    <t xml:space="preserve">total sum in other units </t>
  </si>
  <si>
    <t>Kid pools</t>
  </si>
  <si>
    <t>Fedcos</t>
  </si>
  <si>
    <t>Olympic Swimming pool</t>
  </si>
  <si>
    <t>DC-10 Air Tanker loads (12000gal)</t>
  </si>
  <si>
    <t>Fire boss loads (800gal)</t>
  </si>
  <si>
    <t>Incident name(s)</t>
  </si>
  <si>
    <t>Fire Number</t>
  </si>
  <si>
    <t>Dip sites</t>
  </si>
  <si>
    <t>Retardant Y/N</t>
  </si>
  <si>
    <t xml:space="preserve">Yes no satments </t>
  </si>
  <si>
    <t>Yes</t>
  </si>
  <si>
    <t>No</t>
  </si>
  <si>
    <t>Dip $ Code 2</t>
  </si>
  <si>
    <t>Rate</t>
  </si>
  <si>
    <t>total Gal.</t>
  </si>
  <si>
    <t>total drafts</t>
  </si>
  <si>
    <t>Total Drafts</t>
  </si>
  <si>
    <t>Cost 1</t>
  </si>
  <si>
    <t>Cost 2</t>
  </si>
  <si>
    <t>Dip $ Code 1</t>
  </si>
  <si>
    <t>number of Incidents attatched to</t>
  </si>
  <si>
    <t>Davis</t>
  </si>
  <si>
    <t>Blackhawk Mountain</t>
  </si>
  <si>
    <t>Crown Creek</t>
  </si>
  <si>
    <t>Katy Creek</t>
  </si>
  <si>
    <t>WA-NES-002250</t>
  </si>
  <si>
    <t>WA-NES-002249</t>
  </si>
  <si>
    <t>WA-COF-002257</t>
  </si>
  <si>
    <t>Column1</t>
  </si>
  <si>
    <t>Fire Names / Dip Sites</t>
  </si>
  <si>
    <t>Tail numbers</t>
  </si>
  <si>
    <t xml:space="preserve">type </t>
  </si>
  <si>
    <t>bucket 1</t>
  </si>
  <si>
    <t>bucket 2</t>
  </si>
  <si>
    <t>bucket 3</t>
  </si>
  <si>
    <t>bucket 4</t>
  </si>
  <si>
    <t>0HX</t>
  </si>
  <si>
    <t>Phalon  Lake</t>
  </si>
  <si>
    <t>Bucket help data, do not edit please</t>
  </si>
  <si>
    <t>Drop point data do not edit please</t>
  </si>
  <si>
    <t xml:space="preserve">dip site </t>
  </si>
  <si>
    <t>drops / flight 1</t>
  </si>
  <si>
    <t>drops / flight 2</t>
  </si>
  <si>
    <t>drops / flight 3</t>
  </si>
  <si>
    <t>drops / flight 4</t>
  </si>
  <si>
    <t>drops / flight 5</t>
  </si>
  <si>
    <t>drops / flight 6</t>
  </si>
  <si>
    <t>Gallons /fire/day</t>
  </si>
  <si>
    <t>total sum all fire</t>
  </si>
  <si>
    <t>Keep blank</t>
  </si>
  <si>
    <t>or the math won't math</t>
  </si>
  <si>
    <t>please do not edit</t>
  </si>
  <si>
    <t>or the maths won't math</t>
  </si>
  <si>
    <t>Helibase total</t>
  </si>
  <si>
    <t>Tacoma</t>
  </si>
  <si>
    <t>Coffin</t>
  </si>
  <si>
    <t>8NW</t>
  </si>
  <si>
    <t>Bolder</t>
  </si>
  <si>
    <t>Cusick</t>
  </si>
  <si>
    <t>drops / ships</t>
  </si>
  <si>
    <t>gallons / ships</t>
  </si>
  <si>
    <t>Column2</t>
  </si>
  <si>
    <t>Gallons</t>
  </si>
  <si>
    <t>Drops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</si>
</sst>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4"/>
      <color rgb="FFEEF0FF"/>
      <name val="Arial"/>
      <family val="2"/>
    </font>
    <font>
      <b/>
      <sz val="36"/>
      <color theme="3" tint="0.499984740745262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8" tint="0.39997558519241921"/>
      <name val="Aptos Narrow"/>
      <family val="2"/>
      <scheme val="minor"/>
    </font>
    <font>
      <b/>
      <sz val="16"/>
      <color theme="4" tint="0.59999389629810485"/>
      <name val="Amasis MT Pro Black"/>
      <family val="1"/>
    </font>
    <font>
      <b/>
      <u val="double"/>
      <sz val="11"/>
      <color indexed="4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45">
    <border>
      <left/>
      <right/>
      <top/>
      <bottom/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thick">
        <color auto="1"/>
      </bottom>
      <diagonal/>
    </border>
    <border>
      <left/>
      <right/>
      <top style="dashed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 style="hair">
        <color auto="1"/>
      </left>
      <right style="hair">
        <color auto="1"/>
      </right>
      <top style="thick">
        <color auto="1"/>
      </top>
      <bottom style="dashed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dashed">
        <color auto="1"/>
      </bottom>
      <diagonal/>
    </border>
    <border>
      <left style="hair">
        <color auto="1"/>
      </left>
      <right style="hair">
        <color auto="1"/>
      </right>
      <top style="dashed">
        <color auto="1"/>
      </top>
      <bottom style="dashed">
        <color auto="1"/>
      </bottom>
      <diagonal/>
    </border>
    <border>
      <left style="hair">
        <color auto="1"/>
      </left>
      <right style="thick">
        <color auto="1"/>
      </right>
      <top style="dashed">
        <color auto="1"/>
      </top>
      <bottom style="dashed">
        <color auto="1"/>
      </bottom>
      <diagonal/>
    </border>
    <border>
      <left style="hair">
        <color auto="1"/>
      </left>
      <right style="hair">
        <color auto="1"/>
      </right>
      <top style="dashed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dashed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/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/>
      <diagonal/>
    </border>
    <border>
      <left style="thin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thick">
        <color auto="1"/>
      </top>
      <bottom style="dashed">
        <color auto="1"/>
      </bottom>
      <diagonal/>
    </border>
    <border>
      <left style="medium">
        <color auto="1"/>
      </left>
      <right style="mediumDashed">
        <color auto="1"/>
      </right>
      <top style="medium">
        <color auto="1"/>
      </top>
      <bottom style="dashed">
        <color auto="1"/>
      </bottom>
      <diagonal/>
    </border>
    <border>
      <left style="mediumDashed">
        <color auto="1"/>
      </left>
      <right style="mediumDashed">
        <color auto="1"/>
      </right>
      <top style="medium">
        <color auto="1"/>
      </top>
      <bottom style="dashed">
        <color auto="1"/>
      </bottom>
      <diagonal/>
    </border>
    <border>
      <left style="mediumDashed">
        <color auto="1"/>
      </left>
      <right/>
      <top style="medium">
        <color auto="1"/>
      </top>
      <bottom style="dashed">
        <color auto="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3" fontId="2" fillId="2" borderId="0" xfId="1" applyFont="1" applyFill="1"/>
    <xf numFmtId="3" fontId="0" fillId="0" borderId="0" xfId="0" applyNumberFormat="1"/>
    <xf numFmtId="3" fontId="5" fillId="0" borderId="0" xfId="0" applyNumberFormat="1" applyFont="1"/>
    <xf numFmtId="43" fontId="0" fillId="0" borderId="0" xfId="0" applyNumberFormat="1"/>
    <xf numFmtId="0" fontId="4" fillId="5" borderId="3" xfId="0" applyFont="1" applyFill="1" applyBorder="1"/>
    <xf numFmtId="0" fontId="4" fillId="5" borderId="9" xfId="0" applyFont="1" applyFill="1" applyBorder="1"/>
    <xf numFmtId="0" fontId="7" fillId="0" borderId="0" xfId="0" applyFont="1"/>
    <xf numFmtId="43" fontId="7" fillId="0" borderId="0" xfId="0" applyNumberFormat="1" applyFont="1"/>
    <xf numFmtId="9" fontId="7" fillId="0" borderId="0" xfId="2" applyFont="1"/>
    <xf numFmtId="0" fontId="2" fillId="0" borderId="0" xfId="0" applyFont="1"/>
    <xf numFmtId="0" fontId="8" fillId="0" borderId="0" xfId="0" applyFont="1"/>
    <xf numFmtId="0" fontId="0" fillId="0" borderId="13" xfId="0" applyBorder="1"/>
    <xf numFmtId="0" fontId="0" fillId="0" borderId="14" xfId="0" applyBorder="1"/>
    <xf numFmtId="0" fontId="0" fillId="6" borderId="15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0" fillId="8" borderId="0" xfId="0" applyFill="1"/>
    <xf numFmtId="43" fontId="0" fillId="0" borderId="0" xfId="1" applyFont="1"/>
    <xf numFmtId="43" fontId="0" fillId="4" borderId="2" xfId="1" applyFont="1" applyFill="1" applyBorder="1"/>
    <xf numFmtId="43" fontId="0" fillId="2" borderId="0" xfId="1" applyFont="1" applyFill="1"/>
    <xf numFmtId="43" fontId="0" fillId="3" borderId="5" xfId="1" applyFont="1" applyFill="1" applyBorder="1"/>
    <xf numFmtId="43" fontId="0" fillId="3" borderId="8" xfId="1" applyFont="1" applyFill="1" applyBorder="1"/>
    <xf numFmtId="43" fontId="11" fillId="7" borderId="0" xfId="1" applyFont="1" applyFill="1"/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10" fillId="0" borderId="4" xfId="0" applyFont="1" applyBorder="1"/>
    <xf numFmtId="0" fontId="10" fillId="0" borderId="40" xfId="0" applyFont="1" applyBorder="1"/>
    <xf numFmtId="0" fontId="9" fillId="6" borderId="10" xfId="0" applyFont="1" applyFill="1" applyBorder="1"/>
    <xf numFmtId="0" fontId="0" fillId="0" borderId="40" xfId="0" applyBorder="1"/>
    <xf numFmtId="0" fontId="0" fillId="0" borderId="41" xfId="0" applyBorder="1"/>
    <xf numFmtId="0" fontId="0" fillId="0" borderId="1" xfId="0" applyBorder="1"/>
    <xf numFmtId="0" fontId="0" fillId="4" borderId="42" xfId="0" applyFill="1" applyBorder="1"/>
    <xf numFmtId="0" fontId="0" fillId="4" borderId="43" xfId="0" applyFill="1" applyBorder="1"/>
    <xf numFmtId="0" fontId="0" fillId="4" borderId="43" xfId="0" applyFill="1" applyBorder="1" applyAlignment="1">
      <alignment horizontal="center"/>
    </xf>
    <xf numFmtId="0" fontId="0" fillId="4" borderId="44" xfId="0" applyFill="1" applyBorder="1"/>
    <xf numFmtId="0" fontId="12" fillId="0" borderId="21" xfId="0" applyFont="1" applyBorder="1" applyAlignment="1">
      <alignment wrapText="1"/>
    </xf>
    <xf numFmtId="0" fontId="9" fillId="0" borderId="27" xfId="0" applyFont="1" applyBorder="1" applyAlignment="1">
      <alignment wrapText="1"/>
    </xf>
    <xf numFmtId="0" fontId="9" fillId="0" borderId="28" xfId="0" applyFont="1" applyBorder="1" applyAlignment="1">
      <alignment wrapText="1"/>
    </xf>
    <xf numFmtId="0" fontId="9" fillId="0" borderId="29" xfId="0" applyFont="1" applyBorder="1" applyAlignment="1">
      <alignment wrapText="1"/>
    </xf>
    <xf numFmtId="0" fontId="9" fillId="0" borderId="35" xfId="0" applyFont="1" applyBorder="1" applyAlignment="1">
      <alignment wrapText="1"/>
    </xf>
    <xf numFmtId="0" fontId="9" fillId="0" borderId="36" xfId="0" applyFont="1" applyBorder="1" applyAlignment="1">
      <alignment wrapText="1"/>
    </xf>
    <xf numFmtId="0" fontId="9" fillId="0" borderId="37" xfId="0" applyFont="1" applyBorder="1" applyAlignment="1">
      <alignment wrapText="1"/>
    </xf>
    <xf numFmtId="0" fontId="12" fillId="8" borderId="0" xfId="0" applyFont="1" applyFill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wrapText="1"/>
    </xf>
    <xf numFmtId="43" fontId="0" fillId="0" borderId="26" xfId="1" applyFont="1" applyBorder="1"/>
    <xf numFmtId="43" fontId="0" fillId="0" borderId="32" xfId="1" applyFont="1" applyBorder="1"/>
    <xf numFmtId="0" fontId="9" fillId="8" borderId="28" xfId="0" applyFont="1" applyFill="1" applyBorder="1" applyAlignment="1">
      <alignment wrapText="1"/>
    </xf>
    <xf numFmtId="0" fontId="0" fillId="0" borderId="40" xfId="0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4" xfId="0" applyFont="1" applyBorder="1"/>
    <xf numFmtId="0" fontId="13" fillId="0" borderId="4" xfId="0" applyFont="1" applyBorder="1" applyAlignment="1">
      <alignment horizontal="center"/>
    </xf>
    <xf numFmtId="0" fontId="6" fillId="0" borderId="0" xfId="0" applyFont="1" applyAlignment="1">
      <alignment vertical="center" textRotation="180" wrapText="1"/>
    </xf>
    <xf numFmtId="43" fontId="14" fillId="8" borderId="0" xfId="0" applyNumberFormat="1" applyFont="1" applyFill="1"/>
    <xf numFmtId="0" fontId="0" fillId="3" borderId="5" xfId="1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41"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/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 style="dashed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dashed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vertical="bottom" textRotation="0" wrapText="1" indent="0" justifyLastLine="0" shrinkToFit="0" readingOrder="0"/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>
        <left/>
        <right/>
        <top style="dashed">
          <color auto="1"/>
        </top>
        <bottom style="dashed">
          <color auto="1"/>
        </bottom>
        <vertical/>
        <horizontal/>
      </border>
    </dxf>
    <dxf>
      <border outline="0">
        <top style="dashed">
          <color auto="1"/>
        </top>
      </border>
    </dxf>
    <dxf>
      <border outline="0">
        <left style="thick">
          <color auto="1"/>
        </left>
        <right style="hair">
          <color auto="1"/>
        </right>
        <top style="thick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dash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border diagonalUp="0" diagonalDown="0">
        <left style="thin">
          <color auto="1"/>
        </left>
        <right/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outline="0">
        <top style="dashed">
          <color auto="1"/>
        </top>
      </border>
    </dxf>
    <dxf>
      <border outline="0">
        <left style="thin">
          <color auto="1"/>
        </left>
        <right style="medium">
          <color auto="1"/>
        </right>
        <top style="medium">
          <color auto="1"/>
        </top>
        <bottom style="dashed">
          <color auto="1"/>
        </bottom>
      </border>
    </dxf>
    <dxf>
      <border outline="0">
        <bottom style="dash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0" tint="-0.499984740745262"/>
        </patternFill>
      </fill>
    </dxf>
    <dxf>
      <border diagonalUp="0" diagonalDown="0">
        <left style="dashed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dashed">
          <color auto="1"/>
        </left>
        <right style="dashed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vertical="bottom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0</xdr:row>
          <xdr:rowOff>95250</xdr:rowOff>
        </xdr:from>
        <xdr:to>
          <xdr:col>26</xdr:col>
          <xdr:colOff>495300</xdr:colOff>
          <xdr:row>0</xdr:row>
          <xdr:rowOff>552450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dbl" strike="noStrike" baseline="0">
                  <a:solidFill>
                    <a:srgbClr val="3366FF"/>
                  </a:solidFill>
                  <a:latin typeface="Aptos Narrow"/>
                </a:rPr>
                <a:t>Refresh all Master sheet Calculations"click me"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72D68F-5C08-49B4-A7AA-F23BC311E433}" name="Table2" displayName="Table2" ref="B2:F33" totalsRowShown="0" headerRowDxfId="40" headerRowBorderDxfId="39" tableBorderDxfId="38" totalsRowBorderDxfId="37">
  <autoFilter ref="B2:F33" xr:uid="{7572D68F-5C08-49B4-A7AA-F23BC311E433}"/>
  <sortState xmlns:xlrd2="http://schemas.microsoft.com/office/spreadsheetml/2017/richdata2" ref="B3:F33">
    <sortCondition ref="B2:B33"/>
  </sortState>
  <tableColumns count="5">
    <tableColumn id="1" xr3:uid="{4A990F41-D306-4C8C-816D-333D6655F1D5}" name="Incident name(s)" dataDxfId="36"/>
    <tableColumn id="2" xr3:uid="{585D2C0D-0C22-4BE3-BD68-28EFFF3D74EC}" name="Fire Number" dataDxfId="35"/>
    <tableColumn id="3" xr3:uid="{72D1C235-36A4-441C-BE17-E38E6330A4AC}" name="total drafts" dataDxfId="34"/>
    <tableColumn id="4" xr3:uid="{C971160E-8C46-4F6B-9B66-8F87409C8FB7}" name="total Gal." dataDxfId="33" dataCellStyle="Comma">
      <calculatedColumnFormula>SUM(Start:End!$M$14)</calculatedColumnFormula>
    </tableColumn>
    <tableColumn id="5" xr3:uid="{AD075B20-B9EA-4D46-BA60-4B6B3F008CD8}" name="Helibase total" dataDxfId="32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86C9C0-9DFB-4241-B0CC-CF85A962CD04}" name="Table3" displayName="Table3" ref="G2:P109" totalsRowShown="0" headerRowDxfId="31" headerRowBorderDxfId="30" tableBorderDxfId="29" totalsRowBorderDxfId="28">
  <autoFilter ref="G2:P109" xr:uid="{3D86C9C0-9DFB-4241-B0CC-CF85A962CD04}"/>
  <tableColumns count="10">
    <tableColumn id="1" xr3:uid="{A90521A6-B3B8-4414-88FC-CCA6EDD93634}" name="Dip sites" dataDxfId="27"/>
    <tableColumn id="2" xr3:uid="{2049F63C-2196-4605-8C98-D2EDD58017CC}" name="number of Incidents attatched to" dataDxfId="26"/>
    <tableColumn id="3" xr3:uid="{89A1DC6F-ACF0-4075-A54A-D1B0FDC01845}" name="Retardant Y/N" dataDxfId="25"/>
    <tableColumn id="4" xr3:uid="{8FFEB80B-E716-4FF5-AC23-06ABD7CC4AF2}" name="Dip $ Code 1" dataDxfId="24"/>
    <tableColumn id="5" xr3:uid="{C80CF850-9B54-45CF-910B-BB0EF1C843EE}" name="Dip $ Code 2" dataDxfId="23"/>
    <tableColumn id="6" xr3:uid="{9B5DF4A3-6B4E-4B74-A420-BB2399BD873B}" name="Cost 1" dataDxfId="22"/>
    <tableColumn id="7" xr3:uid="{BAAF0127-EFF3-417A-9726-AA7885B7B395}" name="Cost 2" dataDxfId="21"/>
    <tableColumn id="8" xr3:uid="{AA17B5FF-1651-4F80-8DAC-96A113B049CA}" name="Rate" dataDxfId="20"/>
    <tableColumn id="9" xr3:uid="{A2912DB0-CF6B-44CC-A950-550CDC4D9CB4}" name="Total Drafts" dataDxfId="19"/>
    <tableColumn id="10" xr3:uid="{E3500D57-3D87-4854-A51E-D5C9BD9C4A26}" name="total Gal.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979BFE-BB87-46DB-969F-770BC2FED93A}" name="Table5" displayName="Table5" ref="R2:AA101" totalsRowShown="0" headerRowDxfId="10">
  <autoFilter ref="R2:AA101" xr:uid="{EC979BFE-BB87-46DB-969F-770BC2FED93A}"/>
  <tableColumns count="10">
    <tableColumn id="1" xr3:uid="{D44F62CA-F1F6-4362-A9C8-93855041DD1E}" name="Tail numbers" dataDxfId="9"/>
    <tableColumn id="2" xr3:uid="{3829AABF-2EE4-43C4-90B4-770342CEEC42}" name="type " dataDxfId="8"/>
    <tableColumn id="3" xr3:uid="{DF0A6ABE-5A3E-4E0A-B11B-49A85DB71B42}" name="bucket 1" dataDxfId="7"/>
    <tableColumn id="4" xr3:uid="{7A7FCC0A-B88D-4454-89B8-FB44F18C6CF6}" name="bucket 2" dataDxfId="6"/>
    <tableColumn id="5" xr3:uid="{A08ACBC2-29CD-4241-AADA-DE42FD9B831F}" name="bucket 3" dataDxfId="5"/>
    <tableColumn id="6" xr3:uid="{5426357B-5A41-48A6-BBBB-5B1BA2DFA077}" name="bucket 4" dataDxfId="4"/>
    <tableColumn id="7" xr3:uid="{1230CEE1-CA16-4AD4-8F69-CBD852CFA2B4}" name="Column1" dataDxfId="3"/>
    <tableColumn id="8" xr3:uid="{E133B973-8A28-4B1F-A21F-B2B3C5309EA1}" name="drops / ships" dataDxfId="2"/>
    <tableColumn id="9" xr3:uid="{CAFCE340-BAA8-4153-824E-B8CA0E396645}" name="gallons / ships" dataDxfId="1"/>
    <tableColumn id="10" xr3:uid="{76FBA832-5B05-4032-BBCF-AECF840DA6DF}" name="Column2" dataDxfId="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978214-51D5-4EC3-B62D-4D1E3C609772}" name="Table4" displayName="Table4" ref="A1:A30" totalsRowShown="0" headerRowDxfId="17" dataDxfId="15" headerRowBorderDxfId="16" tableBorderDxfId="14" totalsRowBorderDxfId="13">
  <autoFilter ref="A1:A30" xr:uid="{C0978214-51D5-4EC3-B62D-4D1E3C609772}"/>
  <tableColumns count="1">
    <tableColumn id="1" xr3:uid="{933362C7-83F2-4E7B-964D-1C0B47A9D080}" name="Fire Names / Dip Sites" dataDxfId="12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69BC6-52DA-48D0-89FC-65553025EAD6}">
  <sheetPr codeName="Sheet1"/>
  <dimension ref="A1:AC109"/>
  <sheetViews>
    <sheetView topLeftCell="G1" zoomScaleNormal="100" workbookViewId="0">
      <selection activeCell="N7" sqref="N7"/>
    </sheetView>
  </sheetViews>
  <sheetFormatPr defaultRowHeight="15" x14ac:dyDescent="0.25"/>
  <cols>
    <col min="1" max="1" width="4.7109375" customWidth="1"/>
    <col min="2" max="2" width="23.140625" customWidth="1"/>
    <col min="3" max="3" width="22" customWidth="1"/>
    <col min="4" max="4" width="16" customWidth="1"/>
    <col min="5" max="5" width="14.42578125" customWidth="1"/>
    <col min="6" max="6" width="22.5703125" style="45" customWidth="1"/>
    <col min="7" max="7" width="20.140625" customWidth="1"/>
    <col min="8" max="8" width="19.85546875" customWidth="1"/>
    <col min="9" max="9" width="15.7109375" customWidth="1"/>
    <col min="10" max="10" width="14.42578125" customWidth="1"/>
    <col min="11" max="13" width="14.5703125" customWidth="1"/>
    <col min="15" max="15" width="13.5703125" customWidth="1"/>
    <col min="16" max="16" width="11.28515625" customWidth="1"/>
    <col min="17" max="17" width="5.28515625" style="45" customWidth="1"/>
    <col min="18" max="18" width="14.7109375" style="43" customWidth="1"/>
    <col min="20" max="23" width="10.42578125" customWidth="1"/>
    <col min="24" max="24" width="11" customWidth="1"/>
    <col min="25" max="25" width="13" customWidth="1"/>
    <col min="26" max="26" width="14.85546875" customWidth="1"/>
  </cols>
  <sheetData>
    <row r="1" spans="1:29" ht="51.75" customHeight="1" thickBot="1" x14ac:dyDescent="0.3"/>
    <row r="2" spans="1:29" s="75" customFormat="1" ht="39" customHeight="1" x14ac:dyDescent="0.3">
      <c r="A2" s="66"/>
      <c r="B2" s="67" t="s">
        <v>13</v>
      </c>
      <c r="C2" s="68" t="s">
        <v>14</v>
      </c>
      <c r="D2" s="68" t="s">
        <v>23</v>
      </c>
      <c r="E2" s="69" t="s">
        <v>22</v>
      </c>
      <c r="F2" s="78" t="s">
        <v>61</v>
      </c>
      <c r="G2" s="70" t="s">
        <v>15</v>
      </c>
      <c r="H2" s="71" t="s">
        <v>28</v>
      </c>
      <c r="I2" s="71" t="s">
        <v>16</v>
      </c>
      <c r="J2" s="71" t="s">
        <v>27</v>
      </c>
      <c r="K2" s="71" t="s">
        <v>20</v>
      </c>
      <c r="L2" s="71" t="s">
        <v>25</v>
      </c>
      <c r="M2" s="71" t="s">
        <v>26</v>
      </c>
      <c r="N2" s="71" t="s">
        <v>21</v>
      </c>
      <c r="O2" s="71" t="s">
        <v>24</v>
      </c>
      <c r="P2" s="72" t="s">
        <v>22</v>
      </c>
      <c r="Q2" s="73"/>
      <c r="R2" s="74" t="s">
        <v>38</v>
      </c>
      <c r="S2" s="75" t="s">
        <v>39</v>
      </c>
      <c r="T2" s="75" t="s">
        <v>40</v>
      </c>
      <c r="U2" s="75" t="s">
        <v>41</v>
      </c>
      <c r="V2" s="75" t="s">
        <v>42</v>
      </c>
      <c r="W2" s="75" t="s">
        <v>43</v>
      </c>
      <c r="X2" s="75" t="s">
        <v>36</v>
      </c>
      <c r="Y2" s="75" t="s">
        <v>67</v>
      </c>
      <c r="Z2" s="75" t="s">
        <v>68</v>
      </c>
      <c r="AA2" s="75" t="s">
        <v>69</v>
      </c>
    </row>
    <row r="3" spans="1:29" ht="21.75" customHeight="1" x14ac:dyDescent="0.4">
      <c r="A3" s="28">
        <v>1</v>
      </c>
      <c r="B3" s="31" t="s">
        <v>30</v>
      </c>
      <c r="C3" s="29" t="s">
        <v>33</v>
      </c>
      <c r="D3" s="29">
        <f>SUM(Start:End!$F$3:$K$13)</f>
        <v>0</v>
      </c>
      <c r="E3" s="76">
        <f>SUM(Start:End!$M$3)</f>
        <v>0</v>
      </c>
      <c r="F3" s="84">
        <f>SUM(Table2[total Gal.])</f>
        <v>406560</v>
      </c>
      <c r="G3" s="37" t="s">
        <v>45</v>
      </c>
      <c r="H3" s="19">
        <v>2</v>
      </c>
      <c r="I3" s="19" t="s">
        <v>19</v>
      </c>
      <c r="J3" s="19"/>
      <c r="K3" s="19"/>
      <c r="L3" s="19"/>
      <c r="M3" s="19"/>
      <c r="N3" s="19"/>
      <c r="O3" s="19"/>
      <c r="P3" s="38">
        <v>138520</v>
      </c>
      <c r="R3" s="41">
        <v>230</v>
      </c>
      <c r="S3" s="33">
        <v>2</v>
      </c>
      <c r="T3" s="33">
        <v>240</v>
      </c>
      <c r="U3" s="33"/>
      <c r="V3" s="33"/>
      <c r="W3" s="33"/>
      <c r="X3" s="33"/>
      <c r="Y3" s="29">
        <v>104</v>
      </c>
      <c r="Z3" s="76">
        <v>24960</v>
      </c>
      <c r="AA3" s="33"/>
    </row>
    <row r="4" spans="1:29" x14ac:dyDescent="0.25">
      <c r="A4" s="28">
        <v>2</v>
      </c>
      <c r="B4" s="31" t="s">
        <v>31</v>
      </c>
      <c r="C4" s="29" t="s">
        <v>34</v>
      </c>
      <c r="D4" s="29">
        <f>SUM(Start:End!$F$14:$K$23)</f>
        <v>133</v>
      </c>
      <c r="E4" s="76">
        <f>SUM(Start:End!$M$14)</f>
        <v>138520</v>
      </c>
      <c r="F4" s="45" t="s">
        <v>70</v>
      </c>
      <c r="G4" s="37" t="s">
        <v>29</v>
      </c>
      <c r="H4" s="19">
        <v>1</v>
      </c>
      <c r="I4" s="19" t="s">
        <v>19</v>
      </c>
      <c r="J4" s="19"/>
      <c r="K4" s="19"/>
      <c r="L4" s="19"/>
      <c r="M4" s="19"/>
      <c r="N4" s="19"/>
      <c r="O4" s="19"/>
      <c r="P4" s="38">
        <v>249560</v>
      </c>
      <c r="R4" s="42" t="s">
        <v>0</v>
      </c>
      <c r="S4" s="29">
        <v>1</v>
      </c>
      <c r="T4" s="29">
        <v>600</v>
      </c>
      <c r="U4" s="29">
        <v>1000</v>
      </c>
      <c r="V4" s="29"/>
      <c r="W4" s="29"/>
      <c r="X4" s="29"/>
      <c r="Y4" s="29">
        <v>199</v>
      </c>
      <c r="Z4" s="76">
        <v>199000</v>
      </c>
      <c r="AA4" s="29"/>
    </row>
    <row r="5" spans="1:29" x14ac:dyDescent="0.25">
      <c r="A5" s="28">
        <v>3</v>
      </c>
      <c r="B5" s="31" t="s">
        <v>32</v>
      </c>
      <c r="C5" s="29" t="s">
        <v>35</v>
      </c>
      <c r="D5" s="29">
        <f>SUM(Start:End!$F$24:$K$32)</f>
        <v>307</v>
      </c>
      <c r="E5" s="76">
        <f>SUM(Start:End!$M$24)</f>
        <v>249560</v>
      </c>
      <c r="F5" s="45">
        <f>SUM(Start:End!$F$3:$K$82)</f>
        <v>468</v>
      </c>
      <c r="G5" s="37" t="s">
        <v>63</v>
      </c>
      <c r="H5" s="19">
        <v>1</v>
      </c>
      <c r="I5" s="19" t="s">
        <v>19</v>
      </c>
      <c r="J5" s="19"/>
      <c r="K5" s="19"/>
      <c r="L5" s="19"/>
      <c r="M5" s="19"/>
      <c r="N5" s="19"/>
      <c r="O5" s="19"/>
      <c r="P5" s="38">
        <v>660</v>
      </c>
      <c r="R5" s="42" t="s">
        <v>44</v>
      </c>
      <c r="S5" s="29">
        <v>1</v>
      </c>
      <c r="T5" s="29">
        <v>400</v>
      </c>
      <c r="U5" s="29">
        <v>660</v>
      </c>
      <c r="V5" s="29"/>
      <c r="W5" s="29"/>
      <c r="X5" s="29"/>
      <c r="Y5" s="29">
        <v>110</v>
      </c>
      <c r="Z5" s="76">
        <v>72600</v>
      </c>
      <c r="AA5" s="29"/>
    </row>
    <row r="6" spans="1:29" ht="15" customHeight="1" x14ac:dyDescent="0.25">
      <c r="A6" s="28">
        <v>4</v>
      </c>
      <c r="B6" s="31" t="s">
        <v>62</v>
      </c>
      <c r="C6" s="29"/>
      <c r="D6" s="29">
        <f>SUM(Start:End!$F$33:$K$41)</f>
        <v>28</v>
      </c>
      <c r="E6" s="76">
        <f>SUM(Start:End!$M$33)</f>
        <v>18480</v>
      </c>
      <c r="F6" s="45" t="s">
        <v>71</v>
      </c>
      <c r="G6" s="37" t="s">
        <v>65</v>
      </c>
      <c r="H6" s="19">
        <v>1</v>
      </c>
      <c r="I6" s="19" t="s">
        <v>19</v>
      </c>
      <c r="J6" s="19"/>
      <c r="K6" s="19"/>
      <c r="L6" s="19"/>
      <c r="M6" s="19"/>
      <c r="N6" s="19"/>
      <c r="O6" s="19"/>
      <c r="P6" s="38">
        <v>10560</v>
      </c>
      <c r="R6" s="42" t="s">
        <v>5</v>
      </c>
      <c r="S6" s="29">
        <v>1</v>
      </c>
      <c r="T6" s="29">
        <v>2000</v>
      </c>
      <c r="U6" s="29"/>
      <c r="V6" s="29"/>
      <c r="W6" s="29"/>
      <c r="X6" s="29"/>
      <c r="Y6" s="29">
        <v>47</v>
      </c>
      <c r="Z6" s="76">
        <v>94000</v>
      </c>
      <c r="AA6" s="29"/>
    </row>
    <row r="7" spans="1:29" x14ac:dyDescent="0.25">
      <c r="A7" s="28">
        <v>5</v>
      </c>
      <c r="B7" s="31"/>
      <c r="C7" s="29"/>
      <c r="D7" s="29"/>
      <c r="E7" s="77"/>
      <c r="G7" s="37" t="s">
        <v>66</v>
      </c>
      <c r="H7" s="19">
        <v>1</v>
      </c>
      <c r="I7" s="19" t="s">
        <v>19</v>
      </c>
      <c r="J7" s="19"/>
      <c r="K7" s="19"/>
      <c r="L7" s="19"/>
      <c r="M7" s="19"/>
      <c r="N7" s="19"/>
      <c r="O7" s="19"/>
      <c r="P7" s="38">
        <v>7260</v>
      </c>
      <c r="R7" s="42" t="s">
        <v>64</v>
      </c>
      <c r="S7" s="29">
        <v>1</v>
      </c>
      <c r="T7" s="29">
        <v>2000</v>
      </c>
      <c r="U7" s="29"/>
      <c r="V7" s="29"/>
      <c r="W7" s="29"/>
      <c r="X7" s="29"/>
      <c r="Y7" s="29">
        <v>8</v>
      </c>
      <c r="Z7" s="76">
        <v>16000</v>
      </c>
      <c r="AA7" s="29"/>
    </row>
    <row r="8" spans="1:29" x14ac:dyDescent="0.25">
      <c r="A8" s="28">
        <v>6</v>
      </c>
      <c r="B8" s="31"/>
      <c r="C8" s="29"/>
      <c r="D8" s="29"/>
      <c r="E8" s="77"/>
      <c r="G8" s="37"/>
      <c r="H8" s="19"/>
      <c r="I8" s="19" t="s">
        <v>19</v>
      </c>
      <c r="J8" s="19"/>
      <c r="K8" s="19"/>
      <c r="L8" s="19"/>
      <c r="M8" s="19"/>
      <c r="N8" s="19"/>
      <c r="O8" s="19"/>
      <c r="P8" s="38"/>
      <c r="R8" s="42"/>
      <c r="S8" s="29"/>
      <c r="T8" s="29"/>
      <c r="U8" s="29"/>
      <c r="V8" s="29"/>
      <c r="W8" s="29"/>
      <c r="X8" s="29"/>
      <c r="Y8" s="29"/>
      <c r="Z8" s="76"/>
      <c r="AA8" s="29"/>
    </row>
    <row r="9" spans="1:29" x14ac:dyDescent="0.25">
      <c r="A9" s="28">
        <v>7</v>
      </c>
      <c r="B9" s="31"/>
      <c r="C9" s="29"/>
      <c r="D9" s="29"/>
      <c r="E9" s="77"/>
      <c r="G9" s="37"/>
      <c r="H9" s="19"/>
      <c r="I9" s="19" t="s">
        <v>19</v>
      </c>
      <c r="J9" s="19"/>
      <c r="K9" s="19"/>
      <c r="L9" s="19"/>
      <c r="M9" s="19"/>
      <c r="N9" s="19"/>
      <c r="O9" s="19"/>
      <c r="P9" s="38"/>
      <c r="R9" s="42"/>
      <c r="S9" s="29"/>
      <c r="T9" s="29"/>
      <c r="U9" s="29"/>
      <c r="V9" s="29"/>
      <c r="W9" s="29"/>
      <c r="X9" s="29"/>
      <c r="Y9" s="29"/>
      <c r="Z9" s="76"/>
      <c r="AA9" s="29"/>
    </row>
    <row r="10" spans="1:29" x14ac:dyDescent="0.25">
      <c r="A10" s="28">
        <v>8</v>
      </c>
      <c r="B10" s="31"/>
      <c r="C10" s="29"/>
      <c r="D10" s="29"/>
      <c r="E10" s="77"/>
      <c r="G10" s="37"/>
      <c r="H10" s="19"/>
      <c r="I10" s="19" t="s">
        <v>19</v>
      </c>
      <c r="J10" s="19"/>
      <c r="K10" s="19"/>
      <c r="L10" s="19"/>
      <c r="M10" s="19"/>
      <c r="N10" s="19"/>
      <c r="O10" s="19"/>
      <c r="P10" s="38"/>
      <c r="R10" s="42"/>
      <c r="S10" s="29"/>
      <c r="T10" s="29"/>
      <c r="U10" s="29"/>
      <c r="V10" s="29"/>
      <c r="W10" s="29"/>
      <c r="X10" s="29"/>
      <c r="Y10" s="29"/>
      <c r="Z10" s="76"/>
      <c r="AA10" s="29"/>
    </row>
    <row r="11" spans="1:29" x14ac:dyDescent="0.25">
      <c r="A11" s="28">
        <v>9</v>
      </c>
      <c r="B11" s="31"/>
      <c r="C11" s="29"/>
      <c r="D11" s="29"/>
      <c r="E11" s="77"/>
      <c r="G11" s="37"/>
      <c r="H11" s="19"/>
      <c r="I11" s="19" t="s">
        <v>19</v>
      </c>
      <c r="J11" s="19"/>
      <c r="K11" s="19"/>
      <c r="L11" s="19"/>
      <c r="M11" s="19"/>
      <c r="N11" s="19"/>
      <c r="O11" s="19"/>
      <c r="P11" s="38"/>
      <c r="R11" s="42"/>
      <c r="S11" s="29"/>
      <c r="T11" s="29"/>
      <c r="U11" s="29"/>
      <c r="V11" s="29"/>
      <c r="W11" s="29"/>
      <c r="X11" s="29"/>
      <c r="Y11" s="29"/>
      <c r="Z11" s="76"/>
      <c r="AA11" s="29"/>
    </row>
    <row r="12" spans="1:29" x14ac:dyDescent="0.25">
      <c r="A12" s="28">
        <v>10</v>
      </c>
      <c r="B12" s="31"/>
      <c r="C12" s="29"/>
      <c r="D12" s="29"/>
      <c r="E12" s="77"/>
      <c r="G12" s="37"/>
      <c r="H12" s="19"/>
      <c r="I12" s="19" t="s">
        <v>19</v>
      </c>
      <c r="J12" s="19"/>
      <c r="K12" s="19"/>
      <c r="L12" s="19"/>
      <c r="M12" s="19"/>
      <c r="N12" s="19"/>
      <c r="O12" s="19"/>
      <c r="P12" s="38"/>
      <c r="R12" s="42"/>
      <c r="S12" s="29"/>
      <c r="T12" s="29"/>
      <c r="U12" s="29"/>
      <c r="V12" s="29"/>
      <c r="W12" s="29"/>
      <c r="X12" s="29"/>
      <c r="Y12" s="29"/>
      <c r="Z12" s="76"/>
      <c r="AA12" s="29"/>
    </row>
    <row r="13" spans="1:29" x14ac:dyDescent="0.25">
      <c r="A13" s="28">
        <v>11</v>
      </c>
      <c r="B13" s="31"/>
      <c r="C13" s="29"/>
      <c r="D13" s="29"/>
      <c r="E13" s="77"/>
      <c r="G13" s="37"/>
      <c r="H13" s="19"/>
      <c r="I13" s="19" t="s">
        <v>19</v>
      </c>
      <c r="J13" s="19"/>
      <c r="K13" s="19"/>
      <c r="L13" s="19"/>
      <c r="M13" s="19"/>
      <c r="N13" s="19"/>
      <c r="O13" s="19"/>
      <c r="P13" s="38"/>
      <c r="R13" s="42"/>
      <c r="S13" s="29"/>
      <c r="T13" s="29"/>
      <c r="U13" s="29"/>
      <c r="V13" s="29"/>
      <c r="W13" s="29"/>
      <c r="X13" s="29"/>
      <c r="Y13" s="29"/>
      <c r="Z13" s="76"/>
      <c r="AA13" s="29"/>
    </row>
    <row r="14" spans="1:29" x14ac:dyDescent="0.25">
      <c r="A14" s="28">
        <v>12</v>
      </c>
      <c r="B14" s="31"/>
      <c r="C14" s="29"/>
      <c r="D14" s="29"/>
      <c r="E14" s="77"/>
      <c r="G14" s="37"/>
      <c r="H14" s="19"/>
      <c r="I14" s="19" t="s">
        <v>19</v>
      </c>
      <c r="J14" s="19"/>
      <c r="K14" s="19"/>
      <c r="L14" s="19"/>
      <c r="M14" s="19"/>
      <c r="N14" s="19"/>
      <c r="O14" s="19"/>
      <c r="P14" s="38"/>
      <c r="R14" s="42"/>
      <c r="S14" s="29"/>
      <c r="T14" s="29"/>
      <c r="U14" s="29"/>
      <c r="V14" s="29"/>
      <c r="W14" s="29"/>
      <c r="X14" s="29"/>
      <c r="Y14" s="29"/>
      <c r="Z14" s="76"/>
      <c r="AA14" s="29"/>
      <c r="AC14" t="e">
        <f>MATCH(TRIM(G3), 'Fire to Dip Grid'!1:1, 0)</f>
        <v>#N/A</v>
      </c>
    </row>
    <row r="15" spans="1:29" x14ac:dyDescent="0.25">
      <c r="A15" s="28">
        <v>13</v>
      </c>
      <c r="B15" s="31"/>
      <c r="C15" s="29"/>
      <c r="D15" s="29"/>
      <c r="E15" s="77"/>
      <c r="G15" s="37"/>
      <c r="H15" s="19"/>
      <c r="I15" s="19" t="s">
        <v>19</v>
      </c>
      <c r="J15" s="19"/>
      <c r="K15" s="19"/>
      <c r="L15" s="19"/>
      <c r="M15" s="19"/>
      <c r="N15" s="19"/>
      <c r="O15" s="19"/>
      <c r="P15" s="38"/>
      <c r="R15" s="42"/>
      <c r="S15" s="29"/>
      <c r="T15" s="29"/>
      <c r="U15" s="29"/>
      <c r="V15" s="29"/>
      <c r="W15" s="29"/>
      <c r="X15" s="29"/>
      <c r="Y15" s="29"/>
      <c r="Z15" s="76"/>
      <c r="AA15" s="29"/>
    </row>
    <row r="16" spans="1:29" x14ac:dyDescent="0.25">
      <c r="A16" s="28">
        <v>14</v>
      </c>
      <c r="B16" s="31"/>
      <c r="C16" s="29"/>
      <c r="D16" s="29"/>
      <c r="E16" s="77"/>
      <c r="G16" s="37"/>
      <c r="H16" s="19"/>
      <c r="I16" s="19" t="s">
        <v>19</v>
      </c>
      <c r="J16" s="19"/>
      <c r="K16" s="19"/>
      <c r="L16" s="19"/>
      <c r="M16" s="19"/>
      <c r="N16" s="19"/>
      <c r="O16" s="19"/>
      <c r="P16" s="38"/>
      <c r="R16" s="42"/>
      <c r="S16" s="29"/>
      <c r="T16" s="29"/>
      <c r="U16" s="29"/>
      <c r="V16" s="29"/>
      <c r="W16" s="29"/>
      <c r="X16" s="29"/>
      <c r="Y16" s="29"/>
      <c r="Z16" s="76"/>
      <c r="AA16" s="29"/>
    </row>
    <row r="17" spans="1:27" x14ac:dyDescent="0.25">
      <c r="A17" s="28">
        <v>15</v>
      </c>
      <c r="B17" s="31"/>
      <c r="C17" s="29"/>
      <c r="D17" s="29"/>
      <c r="E17" s="77"/>
      <c r="G17" s="37"/>
      <c r="H17" s="19"/>
      <c r="I17" s="19" t="s">
        <v>19</v>
      </c>
      <c r="J17" s="19"/>
      <c r="K17" s="19"/>
      <c r="L17" s="19"/>
      <c r="M17" s="19"/>
      <c r="N17" s="19"/>
      <c r="O17" s="19"/>
      <c r="P17" s="38"/>
      <c r="R17" s="42"/>
      <c r="S17" s="29"/>
      <c r="T17" s="29"/>
      <c r="U17" s="29"/>
      <c r="V17" s="29"/>
      <c r="W17" s="29"/>
      <c r="X17" s="29"/>
      <c r="Y17" s="29"/>
      <c r="Z17" s="76"/>
      <c r="AA17" s="29"/>
    </row>
    <row r="18" spans="1:27" x14ac:dyDescent="0.25">
      <c r="A18" s="28">
        <v>16</v>
      </c>
      <c r="B18" s="31"/>
      <c r="C18" s="29"/>
      <c r="D18" s="29"/>
      <c r="E18" s="77"/>
      <c r="G18" s="37"/>
      <c r="H18" s="19"/>
      <c r="I18" s="19" t="s">
        <v>19</v>
      </c>
      <c r="J18" s="19"/>
      <c r="K18" s="19"/>
      <c r="L18" s="19"/>
      <c r="M18" s="19"/>
      <c r="N18" s="19"/>
      <c r="O18" s="19"/>
      <c r="P18" s="38"/>
      <c r="R18" s="42"/>
      <c r="S18" s="29"/>
      <c r="T18" s="29"/>
      <c r="U18" s="29"/>
      <c r="V18" s="29"/>
      <c r="W18" s="29"/>
      <c r="X18" s="29"/>
      <c r="Y18" s="29"/>
      <c r="Z18" s="76"/>
      <c r="AA18" s="29"/>
    </row>
    <row r="19" spans="1:27" x14ac:dyDescent="0.25">
      <c r="A19" s="28">
        <v>17</v>
      </c>
      <c r="B19" s="31"/>
      <c r="C19" s="29"/>
      <c r="D19" s="29"/>
      <c r="E19" s="77"/>
      <c r="G19" s="37"/>
      <c r="H19" s="19"/>
      <c r="I19" s="19" t="s">
        <v>19</v>
      </c>
      <c r="J19" s="19"/>
      <c r="K19" s="19"/>
      <c r="L19" s="19"/>
      <c r="M19" s="19"/>
      <c r="N19" s="19"/>
      <c r="O19" s="19"/>
      <c r="P19" s="38"/>
      <c r="R19" s="42"/>
      <c r="S19" s="29"/>
      <c r="T19" s="29"/>
      <c r="U19" s="29"/>
      <c r="V19" s="29"/>
      <c r="W19" s="29"/>
      <c r="X19" s="29"/>
      <c r="Y19" s="29"/>
      <c r="Z19" s="76"/>
      <c r="AA19" s="29"/>
    </row>
    <row r="20" spans="1:27" x14ac:dyDescent="0.25">
      <c r="A20" s="28">
        <v>18</v>
      </c>
      <c r="B20" s="31"/>
      <c r="C20" s="29"/>
      <c r="D20" s="29"/>
      <c r="E20" s="77"/>
      <c r="G20" s="37"/>
      <c r="H20" s="19"/>
      <c r="I20" s="19" t="s">
        <v>19</v>
      </c>
      <c r="J20" s="19"/>
      <c r="K20" s="19"/>
      <c r="L20" s="19"/>
      <c r="M20" s="19"/>
      <c r="N20" s="19"/>
      <c r="O20" s="19"/>
      <c r="P20" s="38"/>
      <c r="R20" s="42"/>
      <c r="S20" s="29"/>
      <c r="T20" s="29"/>
      <c r="U20" s="29"/>
      <c r="V20" s="29"/>
      <c r="W20" s="29"/>
      <c r="X20" s="29"/>
      <c r="Y20" s="29"/>
      <c r="Z20" s="76"/>
      <c r="AA20" s="29"/>
    </row>
    <row r="21" spans="1:27" x14ac:dyDescent="0.25">
      <c r="A21" s="28">
        <v>19</v>
      </c>
      <c r="B21" s="31"/>
      <c r="C21" s="29"/>
      <c r="D21" s="29"/>
      <c r="E21" s="77"/>
      <c r="G21" s="37"/>
      <c r="H21" s="19"/>
      <c r="I21" s="19" t="s">
        <v>19</v>
      </c>
      <c r="J21" s="19"/>
      <c r="K21" s="19"/>
      <c r="L21" s="19"/>
      <c r="M21" s="19"/>
      <c r="N21" s="19"/>
      <c r="O21" s="19"/>
      <c r="P21" s="38"/>
      <c r="R21" s="42"/>
      <c r="S21" s="29"/>
      <c r="T21" s="29"/>
      <c r="U21" s="29"/>
      <c r="V21" s="29"/>
      <c r="W21" s="29"/>
      <c r="X21" s="29"/>
      <c r="Y21" s="29"/>
      <c r="Z21" s="76"/>
      <c r="AA21" s="29"/>
    </row>
    <row r="22" spans="1:27" x14ac:dyDescent="0.25">
      <c r="A22" s="28">
        <v>20</v>
      </c>
      <c r="B22" s="31"/>
      <c r="C22" s="29"/>
      <c r="D22" s="29"/>
      <c r="E22" s="77"/>
      <c r="G22" s="37"/>
      <c r="H22" s="19"/>
      <c r="I22" s="19" t="s">
        <v>19</v>
      </c>
      <c r="J22" s="19"/>
      <c r="K22" s="19"/>
      <c r="L22" s="19"/>
      <c r="M22" s="19"/>
      <c r="N22" s="19"/>
      <c r="O22" s="19"/>
      <c r="P22" s="38"/>
      <c r="R22" s="42"/>
      <c r="S22" s="29"/>
      <c r="T22" s="29"/>
      <c r="U22" s="29"/>
      <c r="V22" s="29"/>
      <c r="W22" s="29"/>
      <c r="X22" s="29"/>
      <c r="Y22" s="29"/>
      <c r="Z22" s="76"/>
      <c r="AA22" s="29"/>
    </row>
    <row r="23" spans="1:27" x14ac:dyDescent="0.25">
      <c r="A23" s="28">
        <v>21</v>
      </c>
      <c r="B23" s="31"/>
      <c r="C23" s="29"/>
      <c r="D23" s="29"/>
      <c r="E23" s="77"/>
      <c r="G23" s="37"/>
      <c r="H23" s="19"/>
      <c r="I23" s="19" t="s">
        <v>19</v>
      </c>
      <c r="J23" s="19"/>
      <c r="K23" s="19"/>
      <c r="L23" s="19"/>
      <c r="M23" s="19"/>
      <c r="N23" s="19"/>
      <c r="O23" s="19"/>
      <c r="P23" s="38"/>
      <c r="R23" s="42"/>
      <c r="S23" s="29"/>
      <c r="T23" s="29"/>
      <c r="U23" s="29"/>
      <c r="V23" s="29"/>
      <c r="W23" s="29"/>
      <c r="X23" s="29"/>
      <c r="Y23" s="29"/>
      <c r="Z23" s="76"/>
      <c r="AA23" s="29"/>
    </row>
    <row r="24" spans="1:27" x14ac:dyDescent="0.25">
      <c r="A24" s="28">
        <v>22</v>
      </c>
      <c r="B24" s="31"/>
      <c r="C24" s="29"/>
      <c r="D24" s="29"/>
      <c r="E24" s="77"/>
      <c r="G24" s="37"/>
      <c r="H24" s="19"/>
      <c r="I24" s="19" t="s">
        <v>19</v>
      </c>
      <c r="J24" s="19"/>
      <c r="K24" s="19"/>
      <c r="L24" s="19"/>
      <c r="M24" s="19"/>
      <c r="N24" s="19"/>
      <c r="O24" s="19"/>
      <c r="P24" s="38"/>
      <c r="R24" s="42"/>
      <c r="S24" s="29"/>
      <c r="T24" s="29"/>
      <c r="U24" s="29"/>
      <c r="V24" s="29"/>
      <c r="W24" s="29"/>
      <c r="X24" s="29"/>
      <c r="Y24" s="29"/>
      <c r="Z24" s="76"/>
      <c r="AA24" s="29"/>
    </row>
    <row r="25" spans="1:27" x14ac:dyDescent="0.25">
      <c r="A25" s="28">
        <v>23</v>
      </c>
      <c r="B25" s="31"/>
      <c r="C25" s="29"/>
      <c r="D25" s="29"/>
      <c r="E25" s="77"/>
      <c r="G25" s="37"/>
      <c r="H25" s="19"/>
      <c r="I25" s="19" t="s">
        <v>19</v>
      </c>
      <c r="J25" s="19"/>
      <c r="K25" s="19"/>
      <c r="L25" s="19"/>
      <c r="M25" s="19"/>
      <c r="N25" s="19"/>
      <c r="O25" s="19"/>
      <c r="P25" s="38"/>
      <c r="R25" s="42"/>
      <c r="S25" s="29"/>
      <c r="T25" s="29"/>
      <c r="U25" s="29"/>
      <c r="V25" s="29"/>
      <c r="W25" s="29"/>
      <c r="X25" s="29"/>
      <c r="Y25" s="29"/>
      <c r="Z25" s="76"/>
      <c r="AA25" s="29"/>
    </row>
    <row r="26" spans="1:27" x14ac:dyDescent="0.25">
      <c r="A26" s="28">
        <v>24</v>
      </c>
      <c r="B26" s="31"/>
      <c r="C26" s="29"/>
      <c r="D26" s="29"/>
      <c r="E26" s="77"/>
      <c r="G26" s="37"/>
      <c r="H26" s="19"/>
      <c r="I26" s="19" t="s">
        <v>19</v>
      </c>
      <c r="J26" s="19"/>
      <c r="K26" s="19"/>
      <c r="L26" s="19"/>
      <c r="M26" s="19"/>
      <c r="N26" s="19"/>
      <c r="O26" s="19"/>
      <c r="P26" s="38"/>
      <c r="R26" s="42"/>
      <c r="S26" s="29"/>
      <c r="T26" s="29"/>
      <c r="U26" s="29"/>
      <c r="V26" s="29"/>
      <c r="W26" s="29"/>
      <c r="X26" s="29"/>
      <c r="Y26" s="29"/>
      <c r="Z26" s="76"/>
      <c r="AA26" s="29"/>
    </row>
    <row r="27" spans="1:27" x14ac:dyDescent="0.25">
      <c r="A27" s="28">
        <v>25</v>
      </c>
      <c r="B27" s="31"/>
      <c r="C27" s="29"/>
      <c r="D27" s="29"/>
      <c r="E27" s="77"/>
      <c r="G27" s="37"/>
      <c r="H27" s="19"/>
      <c r="I27" s="19" t="s">
        <v>19</v>
      </c>
      <c r="J27" s="19"/>
      <c r="K27" s="19"/>
      <c r="L27" s="19"/>
      <c r="M27" s="19"/>
      <c r="N27" s="19"/>
      <c r="O27" s="19"/>
      <c r="P27" s="38"/>
      <c r="R27" s="42"/>
      <c r="S27" s="29"/>
      <c r="T27" s="29"/>
      <c r="U27" s="29"/>
      <c r="V27" s="29"/>
      <c r="W27" s="29"/>
      <c r="X27" s="29"/>
      <c r="Y27" s="29"/>
      <c r="Z27" s="76"/>
      <c r="AA27" s="29"/>
    </row>
    <row r="28" spans="1:27" x14ac:dyDescent="0.25">
      <c r="A28" s="28">
        <v>26</v>
      </c>
      <c r="B28" s="31"/>
      <c r="C28" s="29"/>
      <c r="D28" s="29"/>
      <c r="E28" s="77"/>
      <c r="G28" s="37"/>
      <c r="H28" s="19"/>
      <c r="I28" s="19" t="s">
        <v>19</v>
      </c>
      <c r="J28" s="19"/>
      <c r="K28" s="19"/>
      <c r="L28" s="19"/>
      <c r="M28" s="19"/>
      <c r="N28" s="19"/>
      <c r="O28" s="19"/>
      <c r="P28" s="38"/>
      <c r="R28" s="42"/>
      <c r="S28" s="29"/>
      <c r="T28" s="29"/>
      <c r="U28" s="29"/>
      <c r="V28" s="29"/>
      <c r="W28" s="29"/>
      <c r="X28" s="29"/>
      <c r="Y28" s="29"/>
      <c r="Z28" s="76"/>
      <c r="AA28" s="29"/>
    </row>
    <row r="29" spans="1:27" x14ac:dyDescent="0.25">
      <c r="A29" s="28">
        <v>27</v>
      </c>
      <c r="B29" s="31"/>
      <c r="C29" s="29"/>
      <c r="D29" s="29"/>
      <c r="E29" s="77"/>
      <c r="G29" s="37"/>
      <c r="H29" s="19"/>
      <c r="I29" s="19" t="s">
        <v>19</v>
      </c>
      <c r="J29" s="19"/>
      <c r="K29" s="19"/>
      <c r="L29" s="19"/>
      <c r="M29" s="19"/>
      <c r="N29" s="19"/>
      <c r="O29" s="19"/>
      <c r="P29" s="38"/>
      <c r="R29" s="42"/>
      <c r="S29" s="29"/>
      <c r="T29" s="29"/>
      <c r="U29" s="29"/>
      <c r="V29" s="29"/>
      <c r="W29" s="29"/>
      <c r="X29" s="29"/>
      <c r="Y29" s="29"/>
      <c r="Z29" s="76"/>
      <c r="AA29" s="29"/>
    </row>
    <row r="30" spans="1:27" x14ac:dyDescent="0.25">
      <c r="A30" s="28">
        <v>28</v>
      </c>
      <c r="B30" s="31"/>
      <c r="C30" s="29"/>
      <c r="D30" s="29"/>
      <c r="E30" s="77"/>
      <c r="G30" s="37"/>
      <c r="H30" s="19"/>
      <c r="I30" s="19" t="s">
        <v>19</v>
      </c>
      <c r="J30" s="19"/>
      <c r="K30" s="19"/>
      <c r="L30" s="19"/>
      <c r="M30" s="19"/>
      <c r="N30" s="19"/>
      <c r="O30" s="19"/>
      <c r="P30" s="38"/>
      <c r="R30" s="42"/>
      <c r="S30" s="29"/>
      <c r="T30" s="29"/>
      <c r="U30" s="29"/>
      <c r="V30" s="29"/>
      <c r="W30" s="29"/>
      <c r="X30" s="29"/>
      <c r="Y30" s="29"/>
      <c r="Z30" s="76"/>
      <c r="AA30" s="29"/>
    </row>
    <row r="31" spans="1:27" x14ac:dyDescent="0.25">
      <c r="A31" s="28">
        <v>29</v>
      </c>
      <c r="B31" s="31"/>
      <c r="C31" s="29"/>
      <c r="D31" s="29"/>
      <c r="E31" s="77"/>
      <c r="G31" s="37"/>
      <c r="H31" s="19"/>
      <c r="I31" s="19" t="s">
        <v>19</v>
      </c>
      <c r="J31" s="19"/>
      <c r="K31" s="19"/>
      <c r="L31" s="19"/>
      <c r="M31" s="19"/>
      <c r="N31" s="19"/>
      <c r="O31" s="19"/>
      <c r="P31" s="38"/>
      <c r="R31" s="42"/>
      <c r="S31" s="29"/>
      <c r="T31" s="29"/>
      <c r="U31" s="29"/>
      <c r="V31" s="29"/>
      <c r="W31" s="29"/>
      <c r="X31" s="29"/>
      <c r="Y31" s="29"/>
      <c r="Z31" s="76"/>
      <c r="AA31" s="29"/>
    </row>
    <row r="32" spans="1:27" x14ac:dyDescent="0.25">
      <c r="A32" s="28">
        <v>30</v>
      </c>
      <c r="B32" s="31"/>
      <c r="C32" s="29"/>
      <c r="D32" s="29"/>
      <c r="E32" s="77"/>
      <c r="G32" s="37"/>
      <c r="H32" s="19"/>
      <c r="I32" s="19" t="s">
        <v>19</v>
      </c>
      <c r="J32" s="19"/>
      <c r="K32" s="19"/>
      <c r="L32" s="19"/>
      <c r="M32" s="19"/>
      <c r="N32" s="19"/>
      <c r="O32" s="19"/>
      <c r="P32" s="38"/>
      <c r="R32" s="42"/>
      <c r="S32" s="29"/>
      <c r="T32" s="29"/>
      <c r="U32" s="29"/>
      <c r="V32" s="29"/>
      <c r="W32" s="29"/>
      <c r="X32" s="29"/>
      <c r="Y32" s="29"/>
      <c r="Z32" s="76"/>
      <c r="AA32" s="29"/>
    </row>
    <row r="33" spans="1:27" ht="15.75" thickBot="1" x14ac:dyDescent="0.3">
      <c r="A33" s="30">
        <v>31</v>
      </c>
      <c r="B33" s="34"/>
      <c r="C33" s="35"/>
      <c r="D33" s="35"/>
      <c r="E33" s="77"/>
      <c r="G33" s="37"/>
      <c r="H33" s="19"/>
      <c r="I33" s="19" t="s">
        <v>19</v>
      </c>
      <c r="J33" s="19"/>
      <c r="K33" s="19"/>
      <c r="L33" s="19"/>
      <c r="M33" s="19"/>
      <c r="N33" s="19"/>
      <c r="O33" s="19"/>
      <c r="P33" s="38"/>
      <c r="R33" s="42"/>
      <c r="S33" s="29"/>
      <c r="T33" s="29"/>
      <c r="U33" s="29"/>
      <c r="V33" s="29"/>
      <c r="W33" s="29"/>
      <c r="X33" s="29"/>
      <c r="Y33" s="29"/>
      <c r="Z33" s="76"/>
      <c r="AA33" s="29"/>
    </row>
    <row r="34" spans="1:27" x14ac:dyDescent="0.25">
      <c r="G34" s="37"/>
      <c r="H34" s="19"/>
      <c r="I34" s="19" t="s">
        <v>19</v>
      </c>
      <c r="J34" s="19"/>
      <c r="K34" s="19"/>
      <c r="L34" s="19"/>
      <c r="M34" s="19"/>
      <c r="N34" s="19"/>
      <c r="O34" s="19"/>
      <c r="P34" s="38"/>
      <c r="R34" s="42"/>
      <c r="S34" s="29"/>
      <c r="T34" s="29"/>
      <c r="U34" s="29"/>
      <c r="V34" s="29"/>
      <c r="W34" s="29"/>
      <c r="X34" s="29"/>
      <c r="Y34" s="29"/>
      <c r="Z34" s="76"/>
      <c r="AA34" s="29"/>
    </row>
    <row r="35" spans="1:27" x14ac:dyDescent="0.25">
      <c r="G35" s="37"/>
      <c r="H35" s="19"/>
      <c r="I35" s="19" t="s">
        <v>19</v>
      </c>
      <c r="J35" s="19"/>
      <c r="K35" s="19"/>
      <c r="L35" s="19"/>
      <c r="M35" s="19"/>
      <c r="N35" s="19"/>
      <c r="O35" s="19"/>
      <c r="P35" s="38"/>
      <c r="R35" s="42"/>
      <c r="S35" s="29"/>
      <c r="T35" s="29"/>
      <c r="U35" s="29"/>
      <c r="V35" s="29"/>
      <c r="W35" s="29"/>
      <c r="X35" s="29"/>
      <c r="Y35" s="29"/>
      <c r="Z35" s="76"/>
      <c r="AA35" s="29"/>
    </row>
    <row r="36" spans="1:27" x14ac:dyDescent="0.25">
      <c r="G36" s="37"/>
      <c r="H36" s="19"/>
      <c r="I36" s="19" t="s">
        <v>19</v>
      </c>
      <c r="J36" s="19"/>
      <c r="K36" s="19"/>
      <c r="L36" s="19"/>
      <c r="M36" s="19"/>
      <c r="N36" s="19"/>
      <c r="O36" s="19"/>
      <c r="P36" s="38"/>
      <c r="R36" s="42"/>
      <c r="S36" s="29"/>
      <c r="T36" s="29"/>
      <c r="U36" s="29"/>
      <c r="V36" s="29"/>
      <c r="W36" s="29"/>
      <c r="X36" s="29"/>
      <c r="Y36" s="29"/>
      <c r="Z36" s="76"/>
      <c r="AA36" s="29"/>
    </row>
    <row r="37" spans="1:27" x14ac:dyDescent="0.25">
      <c r="G37" s="37"/>
      <c r="H37" s="19"/>
      <c r="I37" s="19" t="s">
        <v>19</v>
      </c>
      <c r="J37" s="19"/>
      <c r="K37" s="19"/>
      <c r="L37" s="19"/>
      <c r="M37" s="19"/>
      <c r="N37" s="19"/>
      <c r="O37" s="19"/>
      <c r="P37" s="38"/>
      <c r="R37" s="42"/>
      <c r="S37" s="29"/>
      <c r="T37" s="29"/>
      <c r="U37" s="29"/>
      <c r="V37" s="29"/>
      <c r="W37" s="29"/>
      <c r="X37" s="29"/>
      <c r="Y37" s="29"/>
      <c r="Z37" s="76"/>
      <c r="AA37" s="29"/>
    </row>
    <row r="38" spans="1:27" x14ac:dyDescent="0.25">
      <c r="G38" s="37"/>
      <c r="H38" s="19"/>
      <c r="I38" s="19" t="s">
        <v>19</v>
      </c>
      <c r="J38" s="19"/>
      <c r="K38" s="19"/>
      <c r="L38" s="19"/>
      <c r="M38" s="19"/>
      <c r="N38" s="19"/>
      <c r="O38" s="19"/>
      <c r="P38" s="38"/>
      <c r="R38" s="42"/>
      <c r="S38" s="29"/>
      <c r="T38" s="29"/>
      <c r="U38" s="29"/>
      <c r="V38" s="29"/>
      <c r="W38" s="29"/>
      <c r="X38" s="29"/>
      <c r="Y38" s="29"/>
      <c r="Z38" s="76"/>
      <c r="AA38" s="29"/>
    </row>
    <row r="39" spans="1:27" x14ac:dyDescent="0.25">
      <c r="G39" s="37"/>
      <c r="H39" s="19"/>
      <c r="I39" s="19" t="s">
        <v>19</v>
      </c>
      <c r="J39" s="19"/>
      <c r="K39" s="19"/>
      <c r="L39" s="19"/>
      <c r="M39" s="19"/>
      <c r="N39" s="19"/>
      <c r="O39" s="19"/>
      <c r="P39" s="38"/>
      <c r="R39" s="42"/>
      <c r="S39" s="29"/>
      <c r="T39" s="29"/>
      <c r="U39" s="29"/>
      <c r="V39" s="29"/>
      <c r="W39" s="29"/>
      <c r="X39" s="29"/>
      <c r="Y39" s="29"/>
      <c r="Z39" s="76"/>
      <c r="AA39" s="29"/>
    </row>
    <row r="40" spans="1:27" x14ac:dyDescent="0.25">
      <c r="G40" s="37"/>
      <c r="H40" s="19"/>
      <c r="I40" s="19" t="s">
        <v>19</v>
      </c>
      <c r="J40" s="19"/>
      <c r="K40" s="19"/>
      <c r="L40" s="19"/>
      <c r="M40" s="19"/>
      <c r="N40" s="19"/>
      <c r="O40" s="19"/>
      <c r="P40" s="38"/>
      <c r="R40" s="42"/>
      <c r="S40" s="29"/>
      <c r="T40" s="29"/>
      <c r="U40" s="29"/>
      <c r="V40" s="29"/>
      <c r="W40" s="29"/>
      <c r="X40" s="29"/>
      <c r="Y40" s="29"/>
      <c r="Z40" s="76"/>
      <c r="AA40" s="29"/>
    </row>
    <row r="41" spans="1:27" x14ac:dyDescent="0.25">
      <c r="G41" s="37"/>
      <c r="H41" s="19"/>
      <c r="I41" s="19" t="s">
        <v>19</v>
      </c>
      <c r="J41" s="19"/>
      <c r="K41" s="19"/>
      <c r="L41" s="19"/>
      <c r="M41" s="19"/>
      <c r="N41" s="19"/>
      <c r="O41" s="19"/>
      <c r="P41" s="38"/>
      <c r="R41" s="42"/>
      <c r="S41" s="29"/>
      <c r="T41" s="29"/>
      <c r="U41" s="29"/>
      <c r="V41" s="29"/>
      <c r="W41" s="29"/>
      <c r="X41" s="29"/>
      <c r="Y41" s="29"/>
      <c r="Z41" s="76"/>
      <c r="AA41" s="29"/>
    </row>
    <row r="42" spans="1:27" x14ac:dyDescent="0.25">
      <c r="G42" s="37"/>
      <c r="H42" s="19"/>
      <c r="I42" s="19" t="s">
        <v>19</v>
      </c>
      <c r="J42" s="19"/>
      <c r="K42" s="19"/>
      <c r="L42" s="19"/>
      <c r="M42" s="19"/>
      <c r="N42" s="19"/>
      <c r="O42" s="19"/>
      <c r="P42" s="38"/>
      <c r="R42" s="42"/>
      <c r="S42" s="29"/>
      <c r="T42" s="29"/>
      <c r="U42" s="29"/>
      <c r="V42" s="29"/>
      <c r="W42" s="29"/>
      <c r="X42" s="29"/>
      <c r="Y42" s="29"/>
      <c r="Z42" s="76"/>
      <c r="AA42" s="29"/>
    </row>
    <row r="43" spans="1:27" x14ac:dyDescent="0.25">
      <c r="G43" s="37"/>
      <c r="H43" s="19"/>
      <c r="I43" s="19" t="s">
        <v>19</v>
      </c>
      <c r="J43" s="19"/>
      <c r="K43" s="19"/>
      <c r="L43" s="19"/>
      <c r="M43" s="19"/>
      <c r="N43" s="19"/>
      <c r="O43" s="19"/>
      <c r="P43" s="38"/>
      <c r="R43" s="42"/>
      <c r="S43" s="29"/>
      <c r="T43" s="29"/>
      <c r="U43" s="29"/>
      <c r="V43" s="29"/>
      <c r="W43" s="29"/>
      <c r="X43" s="29"/>
      <c r="Y43" s="29"/>
      <c r="Z43" s="76"/>
      <c r="AA43" s="29"/>
    </row>
    <row r="44" spans="1:27" x14ac:dyDescent="0.25">
      <c r="G44" s="37"/>
      <c r="H44" s="19"/>
      <c r="I44" s="19" t="s">
        <v>19</v>
      </c>
      <c r="J44" s="19"/>
      <c r="K44" s="19"/>
      <c r="L44" s="19"/>
      <c r="M44" s="19"/>
      <c r="N44" s="19"/>
      <c r="O44" s="19"/>
      <c r="P44" s="38"/>
      <c r="R44" s="42"/>
      <c r="S44" s="29"/>
      <c r="T44" s="29"/>
      <c r="U44" s="29"/>
      <c r="V44" s="29"/>
      <c r="W44" s="29"/>
      <c r="X44" s="29"/>
      <c r="Y44" s="29"/>
      <c r="Z44" s="76"/>
      <c r="AA44" s="29"/>
    </row>
    <row r="45" spans="1:27" x14ac:dyDescent="0.25">
      <c r="G45" s="37"/>
      <c r="H45" s="19"/>
      <c r="I45" s="19" t="s">
        <v>19</v>
      </c>
      <c r="J45" s="19"/>
      <c r="K45" s="19"/>
      <c r="L45" s="19"/>
      <c r="M45" s="19"/>
      <c r="N45" s="19"/>
      <c r="O45" s="19"/>
      <c r="P45" s="38"/>
      <c r="R45" s="42"/>
      <c r="S45" s="29"/>
      <c r="T45" s="29"/>
      <c r="U45" s="29"/>
      <c r="V45" s="29"/>
      <c r="W45" s="29"/>
      <c r="X45" s="29"/>
      <c r="Y45" s="29"/>
      <c r="Z45" s="76"/>
      <c r="AA45" s="29"/>
    </row>
    <row r="46" spans="1:27" x14ac:dyDescent="0.25">
      <c r="G46" s="37"/>
      <c r="H46" s="19"/>
      <c r="I46" s="19" t="s">
        <v>19</v>
      </c>
      <c r="J46" s="19"/>
      <c r="K46" s="19"/>
      <c r="L46" s="19"/>
      <c r="M46" s="19"/>
      <c r="N46" s="19"/>
      <c r="O46" s="19"/>
      <c r="P46" s="38"/>
      <c r="R46" s="42"/>
      <c r="S46" s="29"/>
      <c r="T46" s="29"/>
      <c r="U46" s="29"/>
      <c r="V46" s="29"/>
      <c r="W46" s="29"/>
      <c r="X46" s="29"/>
      <c r="Y46" s="29"/>
      <c r="Z46" s="76"/>
      <c r="AA46" s="29"/>
    </row>
    <row r="47" spans="1:27" x14ac:dyDescent="0.25">
      <c r="G47" s="37"/>
      <c r="H47" s="19"/>
      <c r="I47" s="19" t="s">
        <v>19</v>
      </c>
      <c r="J47" s="19"/>
      <c r="K47" s="19"/>
      <c r="L47" s="19"/>
      <c r="M47" s="19"/>
      <c r="N47" s="19"/>
      <c r="O47" s="19"/>
      <c r="P47" s="38"/>
      <c r="R47" s="42"/>
      <c r="S47" s="29"/>
      <c r="T47" s="29"/>
      <c r="U47" s="29"/>
      <c r="V47" s="29"/>
      <c r="W47" s="29"/>
      <c r="X47" s="29"/>
      <c r="Y47" s="29"/>
      <c r="Z47" s="76"/>
      <c r="AA47" s="29"/>
    </row>
    <row r="48" spans="1:27" x14ac:dyDescent="0.25">
      <c r="G48" s="37"/>
      <c r="H48" s="19"/>
      <c r="I48" s="19" t="s">
        <v>19</v>
      </c>
      <c r="J48" s="19"/>
      <c r="K48" s="19"/>
      <c r="L48" s="19"/>
      <c r="M48" s="19"/>
      <c r="N48" s="19"/>
      <c r="O48" s="19"/>
      <c r="P48" s="38"/>
      <c r="R48" s="42"/>
      <c r="S48" s="29"/>
      <c r="T48" s="29"/>
      <c r="U48" s="29"/>
      <c r="V48" s="29"/>
      <c r="W48" s="29"/>
      <c r="X48" s="29"/>
      <c r="Y48" s="29"/>
      <c r="Z48" s="76"/>
      <c r="AA48" s="29"/>
    </row>
    <row r="49" spans="7:27" x14ac:dyDescent="0.25">
      <c r="G49" s="37"/>
      <c r="H49" s="19"/>
      <c r="I49" s="19" t="s">
        <v>19</v>
      </c>
      <c r="J49" s="19"/>
      <c r="K49" s="19"/>
      <c r="L49" s="19"/>
      <c r="M49" s="19"/>
      <c r="N49" s="19"/>
      <c r="O49" s="19"/>
      <c r="P49" s="38"/>
      <c r="R49" s="42"/>
      <c r="S49" s="29"/>
      <c r="T49" s="29"/>
      <c r="U49" s="29"/>
      <c r="V49" s="29"/>
      <c r="W49" s="29"/>
      <c r="X49" s="29"/>
      <c r="Y49" s="29"/>
      <c r="Z49" s="76"/>
      <c r="AA49" s="29"/>
    </row>
    <row r="50" spans="7:27" x14ac:dyDescent="0.25">
      <c r="G50" s="37"/>
      <c r="H50" s="19"/>
      <c r="I50" s="19" t="s">
        <v>19</v>
      </c>
      <c r="J50" s="19"/>
      <c r="K50" s="19"/>
      <c r="L50" s="19"/>
      <c r="M50" s="19"/>
      <c r="N50" s="19"/>
      <c r="O50" s="19"/>
      <c r="P50" s="38"/>
      <c r="R50" s="42"/>
      <c r="S50" s="29"/>
      <c r="T50" s="29"/>
      <c r="U50" s="29"/>
      <c r="V50" s="29"/>
      <c r="W50" s="29"/>
      <c r="X50" s="29"/>
      <c r="Y50" s="29"/>
      <c r="Z50" s="76"/>
      <c r="AA50" s="29"/>
    </row>
    <row r="51" spans="7:27" x14ac:dyDescent="0.25">
      <c r="G51" s="37"/>
      <c r="H51" s="19"/>
      <c r="I51" s="19" t="s">
        <v>19</v>
      </c>
      <c r="J51" s="19"/>
      <c r="K51" s="19"/>
      <c r="L51" s="19"/>
      <c r="M51" s="19"/>
      <c r="N51" s="19"/>
      <c r="O51" s="19"/>
      <c r="P51" s="38"/>
      <c r="R51" s="42"/>
      <c r="S51" s="29"/>
      <c r="T51" s="29"/>
      <c r="U51" s="29"/>
      <c r="V51" s="29"/>
      <c r="W51" s="29"/>
      <c r="X51" s="29"/>
      <c r="Y51" s="29"/>
      <c r="Z51" s="76"/>
      <c r="AA51" s="29"/>
    </row>
    <row r="52" spans="7:27" x14ac:dyDescent="0.25">
      <c r="G52" s="37"/>
      <c r="H52" s="19"/>
      <c r="I52" s="19" t="s">
        <v>19</v>
      </c>
      <c r="J52" s="19"/>
      <c r="K52" s="19"/>
      <c r="L52" s="19"/>
      <c r="M52" s="19"/>
      <c r="N52" s="19"/>
      <c r="O52" s="19"/>
      <c r="P52" s="38"/>
      <c r="R52" s="42"/>
      <c r="S52" s="29"/>
      <c r="T52" s="29"/>
      <c r="U52" s="29"/>
      <c r="V52" s="29"/>
      <c r="W52" s="29"/>
      <c r="X52" s="29"/>
      <c r="Y52" s="29"/>
      <c r="Z52" s="76"/>
      <c r="AA52" s="29"/>
    </row>
    <row r="53" spans="7:27" x14ac:dyDescent="0.25">
      <c r="G53" s="37"/>
      <c r="H53" s="19"/>
      <c r="I53" s="19" t="s">
        <v>19</v>
      </c>
      <c r="J53" s="19"/>
      <c r="K53" s="19"/>
      <c r="L53" s="19"/>
      <c r="M53" s="19"/>
      <c r="N53" s="19"/>
      <c r="O53" s="19"/>
      <c r="P53" s="38"/>
      <c r="R53" s="42"/>
      <c r="S53" s="29"/>
      <c r="T53" s="29"/>
      <c r="U53" s="29"/>
      <c r="V53" s="29"/>
      <c r="W53" s="29"/>
      <c r="X53" s="29"/>
      <c r="Y53" s="29"/>
      <c r="Z53" s="76"/>
      <c r="AA53" s="29"/>
    </row>
    <row r="54" spans="7:27" x14ac:dyDescent="0.25">
      <c r="G54" s="37"/>
      <c r="H54" s="19"/>
      <c r="I54" s="19" t="s">
        <v>19</v>
      </c>
      <c r="J54" s="19"/>
      <c r="K54" s="19"/>
      <c r="L54" s="19"/>
      <c r="M54" s="19"/>
      <c r="N54" s="19"/>
      <c r="O54" s="19"/>
      <c r="P54" s="38"/>
      <c r="R54" s="42"/>
      <c r="S54" s="29"/>
      <c r="T54" s="29"/>
      <c r="U54" s="29"/>
      <c r="V54" s="29"/>
      <c r="W54" s="29"/>
      <c r="X54" s="29"/>
      <c r="Y54" s="29"/>
      <c r="Z54" s="76"/>
      <c r="AA54" s="29"/>
    </row>
    <row r="55" spans="7:27" x14ac:dyDescent="0.25">
      <c r="G55" s="37"/>
      <c r="H55" s="19"/>
      <c r="I55" s="19" t="s">
        <v>19</v>
      </c>
      <c r="J55" s="19"/>
      <c r="K55" s="19"/>
      <c r="L55" s="19"/>
      <c r="M55" s="19"/>
      <c r="N55" s="19"/>
      <c r="O55" s="19"/>
      <c r="P55" s="38"/>
      <c r="R55" s="42"/>
      <c r="S55" s="29"/>
      <c r="T55" s="29"/>
      <c r="U55" s="29"/>
      <c r="V55" s="29"/>
      <c r="W55" s="29"/>
      <c r="X55" s="29"/>
      <c r="Y55" s="29"/>
      <c r="Z55" s="76"/>
      <c r="AA55" s="29"/>
    </row>
    <row r="56" spans="7:27" x14ac:dyDescent="0.25">
      <c r="G56" s="37"/>
      <c r="H56" s="19"/>
      <c r="I56" s="19" t="s">
        <v>19</v>
      </c>
      <c r="J56" s="19"/>
      <c r="K56" s="19"/>
      <c r="L56" s="19"/>
      <c r="M56" s="19"/>
      <c r="N56" s="19"/>
      <c r="O56" s="19"/>
      <c r="P56" s="38"/>
      <c r="R56" s="42"/>
      <c r="S56" s="29"/>
      <c r="T56" s="29"/>
      <c r="U56" s="29"/>
      <c r="V56" s="29"/>
      <c r="W56" s="29"/>
      <c r="X56" s="29"/>
      <c r="Y56" s="29"/>
      <c r="Z56" s="76"/>
      <c r="AA56" s="29"/>
    </row>
    <row r="57" spans="7:27" x14ac:dyDescent="0.25">
      <c r="G57" s="37"/>
      <c r="H57" s="19"/>
      <c r="I57" s="19" t="s">
        <v>19</v>
      </c>
      <c r="J57" s="19"/>
      <c r="K57" s="19"/>
      <c r="L57" s="19"/>
      <c r="M57" s="19"/>
      <c r="N57" s="19"/>
      <c r="O57" s="19"/>
      <c r="P57" s="38"/>
      <c r="R57" s="42"/>
      <c r="S57" s="29"/>
      <c r="T57" s="29"/>
      <c r="U57" s="29"/>
      <c r="V57" s="29"/>
      <c r="W57" s="29"/>
      <c r="X57" s="29"/>
      <c r="Y57" s="29"/>
      <c r="Z57" s="76"/>
      <c r="AA57" s="29"/>
    </row>
    <row r="58" spans="7:27" x14ac:dyDescent="0.25">
      <c r="G58" s="37"/>
      <c r="H58" s="19"/>
      <c r="I58" s="19" t="s">
        <v>19</v>
      </c>
      <c r="J58" s="19"/>
      <c r="K58" s="19"/>
      <c r="L58" s="19"/>
      <c r="M58" s="19"/>
      <c r="N58" s="19"/>
      <c r="O58" s="19"/>
      <c r="P58" s="38"/>
      <c r="R58" s="42"/>
      <c r="S58" s="29"/>
      <c r="T58" s="29"/>
      <c r="U58" s="29"/>
      <c r="V58" s="29"/>
      <c r="W58" s="29"/>
      <c r="X58" s="29"/>
      <c r="Y58" s="29"/>
      <c r="Z58" s="76"/>
      <c r="AA58" s="29"/>
    </row>
    <row r="59" spans="7:27" x14ac:dyDescent="0.25">
      <c r="G59" s="37"/>
      <c r="H59" s="19"/>
      <c r="I59" s="19" t="s">
        <v>19</v>
      </c>
      <c r="J59" s="19"/>
      <c r="K59" s="19"/>
      <c r="L59" s="19"/>
      <c r="M59" s="19"/>
      <c r="N59" s="19"/>
      <c r="O59" s="19"/>
      <c r="P59" s="38"/>
      <c r="R59" s="42"/>
      <c r="S59" s="29"/>
      <c r="T59" s="29"/>
      <c r="U59" s="29"/>
      <c r="V59" s="29"/>
      <c r="W59" s="29"/>
      <c r="X59" s="29"/>
      <c r="Y59" s="29"/>
      <c r="Z59" s="76"/>
      <c r="AA59" s="29"/>
    </row>
    <row r="60" spans="7:27" x14ac:dyDescent="0.25">
      <c r="G60" s="37"/>
      <c r="H60" s="19"/>
      <c r="I60" s="19" t="s">
        <v>19</v>
      </c>
      <c r="J60" s="19"/>
      <c r="K60" s="19"/>
      <c r="L60" s="19"/>
      <c r="M60" s="19"/>
      <c r="N60" s="19"/>
      <c r="O60" s="19"/>
      <c r="P60" s="38"/>
      <c r="R60" s="42"/>
      <c r="S60" s="29"/>
      <c r="T60" s="29"/>
      <c r="U60" s="29"/>
      <c r="V60" s="29"/>
      <c r="W60" s="29"/>
      <c r="X60" s="29"/>
      <c r="Y60" s="29"/>
      <c r="Z60" s="32"/>
      <c r="AA60" s="29"/>
    </row>
    <row r="61" spans="7:27" x14ac:dyDescent="0.25">
      <c r="G61" s="37"/>
      <c r="H61" s="19"/>
      <c r="I61" s="19" t="s">
        <v>19</v>
      </c>
      <c r="J61" s="19"/>
      <c r="K61" s="19"/>
      <c r="L61" s="19"/>
      <c r="M61" s="19"/>
      <c r="N61" s="19"/>
      <c r="O61" s="19"/>
      <c r="P61" s="38"/>
      <c r="R61" s="42"/>
      <c r="S61" s="29"/>
      <c r="T61" s="29"/>
      <c r="U61" s="29"/>
      <c r="V61" s="29"/>
      <c r="W61" s="29"/>
      <c r="X61" s="29"/>
      <c r="Y61" s="29"/>
      <c r="Z61" s="32"/>
      <c r="AA61" s="29"/>
    </row>
    <row r="62" spans="7:27" x14ac:dyDescent="0.25">
      <c r="G62" s="37"/>
      <c r="H62" s="19"/>
      <c r="I62" s="19" t="s">
        <v>19</v>
      </c>
      <c r="J62" s="19"/>
      <c r="K62" s="19"/>
      <c r="L62" s="19"/>
      <c r="M62" s="19"/>
      <c r="N62" s="19"/>
      <c r="O62" s="19"/>
      <c r="P62" s="38"/>
      <c r="R62" s="42"/>
      <c r="S62" s="29"/>
      <c r="T62" s="29"/>
      <c r="U62" s="29"/>
      <c r="V62" s="29"/>
      <c r="W62" s="29"/>
      <c r="X62" s="29"/>
      <c r="Y62" s="29"/>
      <c r="Z62" s="32"/>
      <c r="AA62" s="29"/>
    </row>
    <row r="63" spans="7:27" x14ac:dyDescent="0.25">
      <c r="G63" s="37"/>
      <c r="H63" s="19"/>
      <c r="I63" s="19" t="s">
        <v>19</v>
      </c>
      <c r="J63" s="19"/>
      <c r="K63" s="19"/>
      <c r="L63" s="19"/>
      <c r="M63" s="19"/>
      <c r="N63" s="19"/>
      <c r="O63" s="19"/>
      <c r="P63" s="38"/>
      <c r="R63" s="42"/>
      <c r="S63" s="29"/>
      <c r="T63" s="29"/>
      <c r="U63" s="29"/>
      <c r="V63" s="29"/>
      <c r="W63" s="29"/>
      <c r="X63" s="29"/>
      <c r="Y63" s="29"/>
      <c r="Z63" s="32"/>
      <c r="AA63" s="29"/>
    </row>
    <row r="64" spans="7:27" x14ac:dyDescent="0.25">
      <c r="G64" s="37"/>
      <c r="H64" s="19"/>
      <c r="I64" s="19" t="s">
        <v>19</v>
      </c>
      <c r="J64" s="19"/>
      <c r="K64" s="19"/>
      <c r="L64" s="19"/>
      <c r="M64" s="19"/>
      <c r="N64" s="19"/>
      <c r="O64" s="19"/>
      <c r="P64" s="38"/>
      <c r="R64" s="42"/>
      <c r="S64" s="29"/>
      <c r="T64" s="29"/>
      <c r="U64" s="29"/>
      <c r="V64" s="29"/>
      <c r="W64" s="29"/>
      <c r="X64" s="29"/>
      <c r="Y64" s="29"/>
      <c r="Z64" s="32"/>
      <c r="AA64" s="29"/>
    </row>
    <row r="65" spans="7:27" x14ac:dyDescent="0.25">
      <c r="G65" s="37"/>
      <c r="H65" s="19"/>
      <c r="I65" s="19" t="s">
        <v>19</v>
      </c>
      <c r="J65" s="19"/>
      <c r="K65" s="19"/>
      <c r="L65" s="19"/>
      <c r="M65" s="19"/>
      <c r="N65" s="19"/>
      <c r="O65" s="19"/>
      <c r="P65" s="38"/>
      <c r="R65" s="42"/>
      <c r="S65" s="29"/>
      <c r="T65" s="29"/>
      <c r="U65" s="29"/>
      <c r="V65" s="29"/>
      <c r="W65" s="29"/>
      <c r="X65" s="29"/>
      <c r="Y65" s="29"/>
      <c r="Z65" s="32"/>
      <c r="AA65" s="29"/>
    </row>
    <row r="66" spans="7:27" x14ac:dyDescent="0.25">
      <c r="G66" s="37"/>
      <c r="H66" s="19"/>
      <c r="I66" s="19" t="s">
        <v>19</v>
      </c>
      <c r="J66" s="19"/>
      <c r="K66" s="19"/>
      <c r="L66" s="19"/>
      <c r="M66" s="19"/>
      <c r="N66" s="19"/>
      <c r="O66" s="19"/>
      <c r="P66" s="38"/>
      <c r="R66" s="42"/>
      <c r="S66" s="29"/>
      <c r="T66" s="29"/>
      <c r="U66" s="29"/>
      <c r="V66" s="29"/>
      <c r="W66" s="29"/>
      <c r="X66" s="29"/>
      <c r="Y66" s="29"/>
      <c r="Z66" s="32"/>
      <c r="AA66" s="29"/>
    </row>
    <row r="67" spans="7:27" x14ac:dyDescent="0.25">
      <c r="G67" s="37"/>
      <c r="H67" s="19"/>
      <c r="I67" s="19" t="s">
        <v>19</v>
      </c>
      <c r="J67" s="19"/>
      <c r="K67" s="19"/>
      <c r="L67" s="19"/>
      <c r="M67" s="19"/>
      <c r="N67" s="19"/>
      <c r="O67" s="19"/>
      <c r="P67" s="38"/>
      <c r="R67" s="42"/>
      <c r="S67" s="29"/>
      <c r="T67" s="29"/>
      <c r="U67" s="29"/>
      <c r="V67" s="29"/>
      <c r="W67" s="29"/>
      <c r="X67" s="29"/>
      <c r="Y67" s="29"/>
      <c r="Z67" s="32"/>
      <c r="AA67" s="29"/>
    </row>
    <row r="68" spans="7:27" x14ac:dyDescent="0.25">
      <c r="G68" s="37"/>
      <c r="H68" s="19"/>
      <c r="I68" s="19" t="s">
        <v>19</v>
      </c>
      <c r="J68" s="19"/>
      <c r="K68" s="19"/>
      <c r="L68" s="19"/>
      <c r="M68" s="19"/>
      <c r="N68" s="19"/>
      <c r="O68" s="19"/>
      <c r="P68" s="38"/>
      <c r="R68" s="42"/>
      <c r="S68" s="29"/>
      <c r="T68" s="29"/>
      <c r="U68" s="29"/>
      <c r="V68" s="29"/>
      <c r="W68" s="29"/>
      <c r="X68" s="29"/>
      <c r="Y68" s="29"/>
      <c r="Z68" s="32"/>
      <c r="AA68" s="29"/>
    </row>
    <row r="69" spans="7:27" x14ac:dyDescent="0.25">
      <c r="G69" s="37"/>
      <c r="H69" s="19"/>
      <c r="I69" s="19" t="s">
        <v>19</v>
      </c>
      <c r="J69" s="19"/>
      <c r="K69" s="19"/>
      <c r="L69" s="19"/>
      <c r="M69" s="19"/>
      <c r="N69" s="19"/>
      <c r="O69" s="19"/>
      <c r="P69" s="38"/>
      <c r="R69" s="42"/>
      <c r="S69" s="29"/>
      <c r="T69" s="29"/>
      <c r="U69" s="29"/>
      <c r="V69" s="29"/>
      <c r="W69" s="29"/>
      <c r="X69" s="29"/>
      <c r="Y69" s="29"/>
      <c r="Z69" s="32"/>
      <c r="AA69" s="29"/>
    </row>
    <row r="70" spans="7:27" x14ac:dyDescent="0.25">
      <c r="G70" s="37"/>
      <c r="H70" s="19"/>
      <c r="I70" s="19" t="s">
        <v>19</v>
      </c>
      <c r="J70" s="19"/>
      <c r="K70" s="19"/>
      <c r="L70" s="19"/>
      <c r="M70" s="19"/>
      <c r="N70" s="19"/>
      <c r="O70" s="19"/>
      <c r="P70" s="38"/>
      <c r="R70" s="42"/>
      <c r="S70" s="29"/>
      <c r="T70" s="29"/>
      <c r="U70" s="29"/>
      <c r="V70" s="29"/>
      <c r="W70" s="29"/>
      <c r="X70" s="29"/>
      <c r="Y70" s="29"/>
      <c r="Z70" s="32"/>
      <c r="AA70" s="29"/>
    </row>
    <row r="71" spans="7:27" x14ac:dyDescent="0.25">
      <c r="G71" s="37"/>
      <c r="H71" s="19"/>
      <c r="I71" s="19" t="s">
        <v>19</v>
      </c>
      <c r="J71" s="19"/>
      <c r="K71" s="19"/>
      <c r="L71" s="19"/>
      <c r="M71" s="19"/>
      <c r="N71" s="19"/>
      <c r="O71" s="19"/>
      <c r="P71" s="38"/>
      <c r="R71" s="42"/>
      <c r="S71" s="29"/>
      <c r="T71" s="29"/>
      <c r="U71" s="29"/>
      <c r="V71" s="29"/>
      <c r="W71" s="29"/>
      <c r="X71" s="29"/>
      <c r="Y71" s="29"/>
      <c r="Z71" s="32"/>
      <c r="AA71" s="29"/>
    </row>
    <row r="72" spans="7:27" x14ac:dyDescent="0.25">
      <c r="G72" s="37"/>
      <c r="H72" s="19"/>
      <c r="I72" s="19" t="s">
        <v>19</v>
      </c>
      <c r="J72" s="19"/>
      <c r="K72" s="19"/>
      <c r="L72" s="19"/>
      <c r="M72" s="19"/>
      <c r="N72" s="19"/>
      <c r="O72" s="19"/>
      <c r="P72" s="38"/>
      <c r="R72" s="42"/>
      <c r="S72" s="29"/>
      <c r="T72" s="29"/>
      <c r="U72" s="29"/>
      <c r="V72" s="29"/>
      <c r="W72" s="29"/>
      <c r="X72" s="29"/>
      <c r="Y72" s="29"/>
      <c r="Z72" s="32"/>
      <c r="AA72" s="29"/>
    </row>
    <row r="73" spans="7:27" x14ac:dyDescent="0.25">
      <c r="G73" s="37"/>
      <c r="H73" s="19"/>
      <c r="I73" s="19" t="s">
        <v>19</v>
      </c>
      <c r="J73" s="19"/>
      <c r="K73" s="19"/>
      <c r="L73" s="19"/>
      <c r="M73" s="19"/>
      <c r="N73" s="19"/>
      <c r="O73" s="19"/>
      <c r="P73" s="38"/>
      <c r="R73" s="42"/>
      <c r="S73" s="29"/>
      <c r="T73" s="29"/>
      <c r="U73" s="29"/>
      <c r="V73" s="29"/>
      <c r="W73" s="29"/>
      <c r="X73" s="29"/>
      <c r="Y73" s="29"/>
      <c r="Z73" s="32"/>
      <c r="AA73" s="29"/>
    </row>
    <row r="74" spans="7:27" x14ac:dyDescent="0.25">
      <c r="G74" s="37"/>
      <c r="H74" s="19"/>
      <c r="I74" s="19" t="s">
        <v>19</v>
      </c>
      <c r="J74" s="19"/>
      <c r="K74" s="19"/>
      <c r="L74" s="19"/>
      <c r="M74" s="19"/>
      <c r="N74" s="19"/>
      <c r="O74" s="19"/>
      <c r="P74" s="38"/>
      <c r="R74" s="42"/>
      <c r="S74" s="29"/>
      <c r="T74" s="29"/>
      <c r="U74" s="29"/>
      <c r="V74" s="29"/>
      <c r="W74" s="29"/>
      <c r="X74" s="29"/>
      <c r="Y74" s="29"/>
      <c r="Z74" s="32"/>
      <c r="AA74" s="29"/>
    </row>
    <row r="75" spans="7:27" x14ac:dyDescent="0.25">
      <c r="G75" s="37"/>
      <c r="H75" s="19"/>
      <c r="I75" s="19" t="s">
        <v>19</v>
      </c>
      <c r="J75" s="19"/>
      <c r="K75" s="19"/>
      <c r="L75" s="19"/>
      <c r="M75" s="19"/>
      <c r="N75" s="19"/>
      <c r="O75" s="19"/>
      <c r="P75" s="38"/>
      <c r="R75" s="42"/>
      <c r="S75" s="29"/>
      <c r="T75" s="29"/>
      <c r="U75" s="29"/>
      <c r="V75" s="29"/>
      <c r="W75" s="29"/>
      <c r="X75" s="29"/>
      <c r="Y75" s="29"/>
      <c r="Z75" s="32"/>
      <c r="AA75" s="29"/>
    </row>
    <row r="76" spans="7:27" x14ac:dyDescent="0.25">
      <c r="G76" s="37"/>
      <c r="H76" s="19"/>
      <c r="I76" s="19" t="s">
        <v>19</v>
      </c>
      <c r="J76" s="19"/>
      <c r="K76" s="19"/>
      <c r="L76" s="19"/>
      <c r="M76" s="19"/>
      <c r="N76" s="19"/>
      <c r="O76" s="19"/>
      <c r="P76" s="38"/>
      <c r="R76" s="42"/>
      <c r="S76" s="29"/>
      <c r="T76" s="29"/>
      <c r="U76" s="29"/>
      <c r="V76" s="29"/>
      <c r="W76" s="29"/>
      <c r="X76" s="29"/>
      <c r="Y76" s="29"/>
      <c r="Z76" s="32"/>
      <c r="AA76" s="29"/>
    </row>
    <row r="77" spans="7:27" x14ac:dyDescent="0.25">
      <c r="G77" s="37"/>
      <c r="H77" s="19"/>
      <c r="I77" s="19" t="s">
        <v>19</v>
      </c>
      <c r="J77" s="19"/>
      <c r="K77" s="19"/>
      <c r="L77" s="19"/>
      <c r="M77" s="19"/>
      <c r="N77" s="19"/>
      <c r="O77" s="19"/>
      <c r="P77" s="38"/>
      <c r="R77" s="42"/>
      <c r="S77" s="29"/>
      <c r="T77" s="29"/>
      <c r="U77" s="29"/>
      <c r="V77" s="29"/>
      <c r="W77" s="29"/>
      <c r="X77" s="29"/>
      <c r="Y77" s="29"/>
      <c r="Z77" s="32"/>
      <c r="AA77" s="29"/>
    </row>
    <row r="78" spans="7:27" x14ac:dyDescent="0.25">
      <c r="G78" s="37"/>
      <c r="H78" s="19"/>
      <c r="I78" s="19" t="s">
        <v>19</v>
      </c>
      <c r="J78" s="19"/>
      <c r="K78" s="19"/>
      <c r="L78" s="19"/>
      <c r="M78" s="19"/>
      <c r="N78" s="19"/>
      <c r="O78" s="19"/>
      <c r="P78" s="38"/>
      <c r="R78" s="42"/>
      <c r="S78" s="29"/>
      <c r="T78" s="29"/>
      <c r="U78" s="29"/>
      <c r="V78" s="29"/>
      <c r="W78" s="29"/>
      <c r="X78" s="29"/>
      <c r="Y78" s="29"/>
      <c r="Z78" s="32"/>
      <c r="AA78" s="29"/>
    </row>
    <row r="79" spans="7:27" x14ac:dyDescent="0.25">
      <c r="G79" s="37"/>
      <c r="H79" s="19"/>
      <c r="I79" s="19" t="s">
        <v>19</v>
      </c>
      <c r="J79" s="19"/>
      <c r="K79" s="19"/>
      <c r="L79" s="19"/>
      <c r="M79" s="19"/>
      <c r="N79" s="19"/>
      <c r="O79" s="19"/>
      <c r="P79" s="38"/>
      <c r="R79" s="42"/>
      <c r="S79" s="29"/>
      <c r="T79" s="29"/>
      <c r="U79" s="29"/>
      <c r="V79" s="29"/>
      <c r="W79" s="29"/>
      <c r="X79" s="29"/>
      <c r="Y79" s="29"/>
      <c r="Z79" s="32"/>
      <c r="AA79" s="29"/>
    </row>
    <row r="80" spans="7:27" x14ac:dyDescent="0.25">
      <c r="G80" s="37"/>
      <c r="H80" s="19"/>
      <c r="I80" s="19" t="s">
        <v>19</v>
      </c>
      <c r="J80" s="19"/>
      <c r="K80" s="19"/>
      <c r="L80" s="19"/>
      <c r="M80" s="19"/>
      <c r="N80" s="19"/>
      <c r="O80" s="19"/>
      <c r="P80" s="38"/>
      <c r="R80" s="42"/>
      <c r="S80" s="29"/>
      <c r="T80" s="29"/>
      <c r="U80" s="29"/>
      <c r="V80" s="29"/>
      <c r="W80" s="29"/>
      <c r="X80" s="29"/>
      <c r="Y80" s="29"/>
      <c r="Z80" s="32"/>
      <c r="AA80" s="29"/>
    </row>
    <row r="81" spans="7:27" x14ac:dyDescent="0.25">
      <c r="G81" s="37"/>
      <c r="H81" s="19"/>
      <c r="I81" s="19" t="s">
        <v>19</v>
      </c>
      <c r="J81" s="19"/>
      <c r="K81" s="19"/>
      <c r="L81" s="19"/>
      <c r="M81" s="19"/>
      <c r="N81" s="19"/>
      <c r="O81" s="19"/>
      <c r="P81" s="38"/>
      <c r="R81" s="42"/>
      <c r="S81" s="29"/>
      <c r="T81" s="29"/>
      <c r="U81" s="29"/>
      <c r="V81" s="29"/>
      <c r="W81" s="29"/>
      <c r="X81" s="29"/>
      <c r="Y81" s="29"/>
      <c r="Z81" s="32"/>
      <c r="AA81" s="29"/>
    </row>
    <row r="82" spans="7:27" x14ac:dyDescent="0.25">
      <c r="G82" s="37"/>
      <c r="H82" s="19"/>
      <c r="I82" s="19" t="s">
        <v>19</v>
      </c>
      <c r="J82" s="19"/>
      <c r="K82" s="19"/>
      <c r="L82" s="19"/>
      <c r="M82" s="19"/>
      <c r="N82" s="19"/>
      <c r="O82" s="19"/>
      <c r="P82" s="38"/>
      <c r="R82" s="42"/>
      <c r="S82" s="29"/>
      <c r="T82" s="29"/>
      <c r="U82" s="29"/>
      <c r="V82" s="29"/>
      <c r="W82" s="29"/>
      <c r="X82" s="29"/>
      <c r="Y82" s="29"/>
      <c r="Z82" s="32"/>
      <c r="AA82" s="29"/>
    </row>
    <row r="83" spans="7:27" x14ac:dyDescent="0.25">
      <c r="G83" s="37"/>
      <c r="H83" s="19"/>
      <c r="I83" s="19" t="s">
        <v>19</v>
      </c>
      <c r="J83" s="19"/>
      <c r="K83" s="19"/>
      <c r="L83" s="19"/>
      <c r="M83" s="19"/>
      <c r="N83" s="19"/>
      <c r="O83" s="19"/>
      <c r="P83" s="38"/>
      <c r="R83" s="42"/>
      <c r="S83" s="29"/>
      <c r="T83" s="29"/>
      <c r="U83" s="29"/>
      <c r="V83" s="29"/>
      <c r="W83" s="29"/>
      <c r="X83" s="29"/>
      <c r="Y83" s="29"/>
      <c r="Z83" s="32"/>
      <c r="AA83" s="29"/>
    </row>
    <row r="84" spans="7:27" x14ac:dyDescent="0.25">
      <c r="G84" s="37"/>
      <c r="H84" s="19"/>
      <c r="I84" s="19" t="s">
        <v>19</v>
      </c>
      <c r="J84" s="19"/>
      <c r="K84" s="19"/>
      <c r="L84" s="19"/>
      <c r="M84" s="19"/>
      <c r="N84" s="19"/>
      <c r="O84" s="19"/>
      <c r="P84" s="38"/>
      <c r="R84" s="42"/>
      <c r="S84" s="29"/>
      <c r="T84" s="29"/>
      <c r="U84" s="29"/>
      <c r="V84" s="29"/>
      <c r="W84" s="29"/>
      <c r="X84" s="29"/>
      <c r="Y84" s="29"/>
      <c r="Z84" s="32"/>
      <c r="AA84" s="29"/>
    </row>
    <row r="85" spans="7:27" x14ac:dyDescent="0.25">
      <c r="G85" s="37"/>
      <c r="H85" s="19"/>
      <c r="I85" s="19" t="s">
        <v>19</v>
      </c>
      <c r="J85" s="19"/>
      <c r="K85" s="19"/>
      <c r="L85" s="19"/>
      <c r="M85" s="19"/>
      <c r="N85" s="19"/>
      <c r="O85" s="19"/>
      <c r="P85" s="38"/>
      <c r="R85" s="42"/>
      <c r="S85" s="29"/>
      <c r="T85" s="29"/>
      <c r="U85" s="29"/>
      <c r="V85" s="29"/>
      <c r="W85" s="29"/>
      <c r="X85" s="29"/>
      <c r="Y85" s="29"/>
      <c r="Z85" s="32"/>
      <c r="AA85" s="29"/>
    </row>
    <row r="86" spans="7:27" x14ac:dyDescent="0.25">
      <c r="G86" s="37"/>
      <c r="H86" s="19"/>
      <c r="I86" s="19" t="s">
        <v>19</v>
      </c>
      <c r="J86" s="19"/>
      <c r="K86" s="19"/>
      <c r="L86" s="19"/>
      <c r="M86" s="19"/>
      <c r="N86" s="19"/>
      <c r="O86" s="19"/>
      <c r="P86" s="38"/>
      <c r="R86" s="42"/>
      <c r="S86" s="29"/>
      <c r="T86" s="29"/>
      <c r="U86" s="29"/>
      <c r="V86" s="29"/>
      <c r="W86" s="29"/>
      <c r="X86" s="29"/>
      <c r="Y86" s="29"/>
      <c r="Z86" s="32"/>
      <c r="AA86" s="29"/>
    </row>
    <row r="87" spans="7:27" x14ac:dyDescent="0.25">
      <c r="G87" s="37"/>
      <c r="H87" s="19"/>
      <c r="I87" s="19" t="s">
        <v>19</v>
      </c>
      <c r="J87" s="19"/>
      <c r="K87" s="19"/>
      <c r="L87" s="19"/>
      <c r="M87" s="19"/>
      <c r="N87" s="19"/>
      <c r="O87" s="19"/>
      <c r="P87" s="38"/>
      <c r="R87" s="42"/>
      <c r="S87" s="29"/>
      <c r="T87" s="29"/>
      <c r="U87" s="29"/>
      <c r="V87" s="29"/>
      <c r="W87" s="29"/>
      <c r="X87" s="29"/>
      <c r="Y87" s="29"/>
      <c r="Z87" s="32"/>
      <c r="AA87" s="29"/>
    </row>
    <row r="88" spans="7:27" x14ac:dyDescent="0.25">
      <c r="G88" s="37"/>
      <c r="H88" s="19"/>
      <c r="I88" s="19" t="s">
        <v>19</v>
      </c>
      <c r="J88" s="19"/>
      <c r="K88" s="19"/>
      <c r="L88" s="19"/>
      <c r="M88" s="19"/>
      <c r="N88" s="19"/>
      <c r="O88" s="19"/>
      <c r="P88" s="38"/>
      <c r="R88" s="42"/>
      <c r="S88" s="29"/>
      <c r="T88" s="29"/>
      <c r="U88" s="29"/>
      <c r="V88" s="29"/>
      <c r="W88" s="29"/>
      <c r="X88" s="29"/>
      <c r="Y88" s="29"/>
      <c r="Z88" s="32"/>
      <c r="AA88" s="29"/>
    </row>
    <row r="89" spans="7:27" x14ac:dyDescent="0.25">
      <c r="G89" s="37"/>
      <c r="H89" s="19"/>
      <c r="I89" s="19" t="s">
        <v>19</v>
      </c>
      <c r="J89" s="19"/>
      <c r="K89" s="19"/>
      <c r="L89" s="19"/>
      <c r="M89" s="19"/>
      <c r="N89" s="19"/>
      <c r="O89" s="19"/>
      <c r="P89" s="38"/>
      <c r="R89" s="42"/>
      <c r="S89" s="29"/>
      <c r="T89" s="29"/>
      <c r="U89" s="29"/>
      <c r="V89" s="29"/>
      <c r="W89" s="29"/>
      <c r="X89" s="29"/>
      <c r="Y89" s="29"/>
      <c r="Z89" s="32"/>
      <c r="AA89" s="29"/>
    </row>
    <row r="90" spans="7:27" x14ac:dyDescent="0.25">
      <c r="G90" s="37"/>
      <c r="H90" s="19"/>
      <c r="I90" s="19" t="s">
        <v>19</v>
      </c>
      <c r="J90" s="19"/>
      <c r="K90" s="19"/>
      <c r="L90" s="19"/>
      <c r="M90" s="19"/>
      <c r="N90" s="19"/>
      <c r="O90" s="19"/>
      <c r="P90" s="38"/>
      <c r="R90" s="42"/>
      <c r="S90" s="29"/>
      <c r="T90" s="29"/>
      <c r="U90" s="29"/>
      <c r="V90" s="29"/>
      <c r="W90" s="29"/>
      <c r="X90" s="29"/>
      <c r="Y90" s="29"/>
      <c r="Z90" s="32"/>
      <c r="AA90" s="29"/>
    </row>
    <row r="91" spans="7:27" x14ac:dyDescent="0.25">
      <c r="G91" s="37"/>
      <c r="H91" s="19"/>
      <c r="I91" s="19" t="s">
        <v>19</v>
      </c>
      <c r="J91" s="19"/>
      <c r="K91" s="19"/>
      <c r="L91" s="19"/>
      <c r="M91" s="19"/>
      <c r="N91" s="19"/>
      <c r="O91" s="19"/>
      <c r="P91" s="38"/>
      <c r="R91" s="42"/>
      <c r="S91" s="29"/>
      <c r="T91" s="29"/>
      <c r="U91" s="29"/>
      <c r="V91" s="29"/>
      <c r="W91" s="29"/>
      <c r="X91" s="29"/>
      <c r="Y91" s="29"/>
      <c r="Z91" s="32"/>
      <c r="AA91" s="29"/>
    </row>
    <row r="92" spans="7:27" x14ac:dyDescent="0.25">
      <c r="G92" s="37"/>
      <c r="H92" s="19"/>
      <c r="I92" s="19" t="s">
        <v>19</v>
      </c>
      <c r="J92" s="19"/>
      <c r="K92" s="19"/>
      <c r="L92" s="19"/>
      <c r="M92" s="19"/>
      <c r="N92" s="19"/>
      <c r="O92" s="19"/>
      <c r="P92" s="38"/>
      <c r="R92" s="42"/>
      <c r="S92" s="29"/>
      <c r="T92" s="29"/>
      <c r="U92" s="29"/>
      <c r="V92" s="29"/>
      <c r="W92" s="29"/>
      <c r="X92" s="29"/>
      <c r="Y92" s="29"/>
      <c r="Z92" s="32"/>
      <c r="AA92" s="29"/>
    </row>
    <row r="93" spans="7:27" x14ac:dyDescent="0.25">
      <c r="G93" s="37"/>
      <c r="H93" s="19"/>
      <c r="I93" s="19" t="s">
        <v>19</v>
      </c>
      <c r="J93" s="19"/>
      <c r="K93" s="19"/>
      <c r="L93" s="19"/>
      <c r="M93" s="19"/>
      <c r="N93" s="19"/>
      <c r="O93" s="19"/>
      <c r="P93" s="38"/>
      <c r="R93" s="42"/>
      <c r="S93" s="29"/>
      <c r="T93" s="29"/>
      <c r="U93" s="29"/>
      <c r="V93" s="29"/>
      <c r="W93" s="29"/>
      <c r="X93" s="29"/>
      <c r="Y93" s="29"/>
      <c r="Z93" s="32"/>
      <c r="AA93" s="29"/>
    </row>
    <row r="94" spans="7:27" x14ac:dyDescent="0.25">
      <c r="G94" s="37"/>
      <c r="H94" s="19"/>
      <c r="I94" s="19" t="s">
        <v>19</v>
      </c>
      <c r="J94" s="19"/>
      <c r="K94" s="19"/>
      <c r="L94" s="19"/>
      <c r="M94" s="19"/>
      <c r="N94" s="19"/>
      <c r="O94" s="19"/>
      <c r="P94" s="38"/>
      <c r="R94" s="42"/>
      <c r="S94" s="29"/>
      <c r="T94" s="29"/>
      <c r="U94" s="29"/>
      <c r="V94" s="29"/>
      <c r="W94" s="29"/>
      <c r="X94" s="29"/>
      <c r="Y94" s="29"/>
      <c r="Z94" s="32"/>
      <c r="AA94" s="29"/>
    </row>
    <row r="95" spans="7:27" x14ac:dyDescent="0.25">
      <c r="G95" s="37"/>
      <c r="H95" s="19"/>
      <c r="I95" s="19" t="s">
        <v>19</v>
      </c>
      <c r="J95" s="19"/>
      <c r="K95" s="19"/>
      <c r="L95" s="19"/>
      <c r="M95" s="19"/>
      <c r="N95" s="19"/>
      <c r="O95" s="19"/>
      <c r="P95" s="38"/>
      <c r="R95" s="42"/>
      <c r="S95" s="29"/>
      <c r="T95" s="29"/>
      <c r="U95" s="29"/>
      <c r="V95" s="29"/>
      <c r="W95" s="29"/>
      <c r="X95" s="29"/>
      <c r="Y95" s="29"/>
      <c r="Z95" s="32"/>
      <c r="AA95" s="29"/>
    </row>
    <row r="96" spans="7:27" x14ac:dyDescent="0.25">
      <c r="G96" s="37"/>
      <c r="H96" s="19"/>
      <c r="I96" s="19" t="s">
        <v>19</v>
      </c>
      <c r="J96" s="19"/>
      <c r="K96" s="19"/>
      <c r="L96" s="19"/>
      <c r="M96" s="19"/>
      <c r="N96" s="19"/>
      <c r="O96" s="19"/>
      <c r="P96" s="38"/>
      <c r="R96" s="42"/>
      <c r="S96" s="29"/>
      <c r="T96" s="29"/>
      <c r="U96" s="29"/>
      <c r="V96" s="29"/>
      <c r="W96" s="29"/>
      <c r="X96" s="29"/>
      <c r="Y96" s="29"/>
      <c r="Z96" s="32"/>
      <c r="AA96" s="29"/>
    </row>
    <row r="97" spans="7:27" x14ac:dyDescent="0.25">
      <c r="G97" s="37"/>
      <c r="H97" s="19"/>
      <c r="I97" s="19" t="s">
        <v>19</v>
      </c>
      <c r="J97" s="19"/>
      <c r="K97" s="19"/>
      <c r="L97" s="19"/>
      <c r="M97" s="19"/>
      <c r="N97" s="19"/>
      <c r="O97" s="19"/>
      <c r="P97" s="38"/>
      <c r="R97" s="42"/>
      <c r="S97" s="29"/>
      <c r="T97" s="29"/>
      <c r="U97" s="29"/>
      <c r="V97" s="29"/>
      <c r="W97" s="29"/>
      <c r="X97" s="29"/>
      <c r="Y97" s="29"/>
      <c r="Z97" s="32"/>
      <c r="AA97" s="29"/>
    </row>
    <row r="98" spans="7:27" x14ac:dyDescent="0.25">
      <c r="G98" s="37"/>
      <c r="H98" s="19"/>
      <c r="I98" s="19" t="s">
        <v>19</v>
      </c>
      <c r="J98" s="19"/>
      <c r="K98" s="19"/>
      <c r="L98" s="19"/>
      <c r="M98" s="19"/>
      <c r="N98" s="19"/>
      <c r="O98" s="19"/>
      <c r="P98" s="38"/>
      <c r="R98" s="42"/>
      <c r="S98" s="29"/>
      <c r="T98" s="29"/>
      <c r="U98" s="29"/>
      <c r="V98" s="29"/>
      <c r="W98" s="29"/>
      <c r="X98" s="29"/>
      <c r="Y98" s="29"/>
      <c r="Z98" s="32"/>
      <c r="AA98" s="29"/>
    </row>
    <row r="99" spans="7:27" x14ac:dyDescent="0.25">
      <c r="G99" s="37"/>
      <c r="H99" s="19"/>
      <c r="I99" s="19" t="s">
        <v>19</v>
      </c>
      <c r="J99" s="19"/>
      <c r="K99" s="19"/>
      <c r="L99" s="19"/>
      <c r="M99" s="19"/>
      <c r="N99" s="19"/>
      <c r="O99" s="19"/>
      <c r="P99" s="38"/>
      <c r="R99" s="42"/>
      <c r="S99" s="29"/>
      <c r="T99" s="29"/>
      <c r="U99" s="29"/>
      <c r="V99" s="29"/>
      <c r="W99" s="29"/>
      <c r="X99" s="29"/>
      <c r="Y99" s="29"/>
      <c r="Z99" s="32"/>
      <c r="AA99" s="29"/>
    </row>
    <row r="100" spans="7:27" x14ac:dyDescent="0.25">
      <c r="G100" s="37"/>
      <c r="H100" s="19"/>
      <c r="I100" s="19" t="s">
        <v>19</v>
      </c>
      <c r="J100" s="19"/>
      <c r="K100" s="19"/>
      <c r="L100" s="19"/>
      <c r="M100" s="19"/>
      <c r="N100" s="19"/>
      <c r="O100" s="19"/>
      <c r="P100" s="38"/>
      <c r="R100" s="42"/>
      <c r="S100" s="29"/>
      <c r="T100" s="29"/>
      <c r="U100" s="29"/>
      <c r="V100" s="29"/>
      <c r="W100" s="29"/>
      <c r="X100" s="29"/>
      <c r="Y100" s="29"/>
      <c r="Z100" s="32"/>
      <c r="AA100" s="29"/>
    </row>
    <row r="101" spans="7:27" x14ac:dyDescent="0.25">
      <c r="G101" s="37"/>
      <c r="H101" s="19"/>
      <c r="I101" s="19" t="s">
        <v>19</v>
      </c>
      <c r="J101" s="19"/>
      <c r="K101" s="19"/>
      <c r="L101" s="19"/>
      <c r="M101" s="19"/>
      <c r="N101" s="19"/>
      <c r="O101" s="19"/>
      <c r="P101" s="38"/>
      <c r="R101" s="44"/>
      <c r="S101" s="35"/>
      <c r="T101" s="35"/>
      <c r="U101" s="35"/>
      <c r="V101" s="35"/>
      <c r="W101" s="35"/>
      <c r="X101" s="35"/>
      <c r="Y101" s="35"/>
      <c r="Z101" s="36"/>
      <c r="AA101" s="35"/>
    </row>
    <row r="102" spans="7:27" x14ac:dyDescent="0.25">
      <c r="G102" s="37"/>
      <c r="H102" s="19"/>
      <c r="I102" s="19" t="s">
        <v>19</v>
      </c>
      <c r="J102" s="19"/>
      <c r="K102" s="19"/>
      <c r="L102" s="19"/>
      <c r="M102" s="19"/>
      <c r="N102" s="19"/>
      <c r="O102" s="19"/>
      <c r="P102" s="38"/>
    </row>
    <row r="103" spans="7:27" x14ac:dyDescent="0.25">
      <c r="G103" s="37"/>
      <c r="H103" s="19"/>
      <c r="I103" s="19" t="s">
        <v>19</v>
      </c>
      <c r="J103" s="19"/>
      <c r="K103" s="19"/>
      <c r="L103" s="19"/>
      <c r="M103" s="19"/>
      <c r="N103" s="19"/>
      <c r="O103" s="19"/>
      <c r="P103" s="38"/>
    </row>
    <row r="104" spans="7:27" x14ac:dyDescent="0.25">
      <c r="G104" s="39"/>
      <c r="H104" s="19"/>
      <c r="I104" s="20" t="s">
        <v>19</v>
      </c>
      <c r="J104" s="20"/>
      <c r="K104" s="20"/>
      <c r="L104" s="20"/>
      <c r="M104" s="20"/>
      <c r="N104" s="20"/>
      <c r="O104" s="20"/>
      <c r="P104" s="40"/>
    </row>
    <row r="105" spans="7:27" x14ac:dyDescent="0.25">
      <c r="G105" s="37"/>
      <c r="H105" s="19"/>
      <c r="I105" s="19"/>
      <c r="J105" s="19"/>
      <c r="K105" s="19"/>
      <c r="L105" s="19"/>
      <c r="M105" s="19"/>
      <c r="N105" s="19"/>
      <c r="O105" s="19"/>
      <c r="P105" s="38"/>
    </row>
    <row r="106" spans="7:27" x14ac:dyDescent="0.25">
      <c r="G106" s="37"/>
      <c r="H106" s="19"/>
      <c r="I106" s="19"/>
      <c r="J106" s="19"/>
      <c r="K106" s="19"/>
      <c r="L106" s="19"/>
      <c r="M106" s="19"/>
      <c r="N106" s="19"/>
      <c r="O106" s="19"/>
      <c r="P106" s="38"/>
    </row>
    <row r="107" spans="7:27" x14ac:dyDescent="0.25">
      <c r="G107" s="37"/>
      <c r="H107" s="19"/>
      <c r="I107" s="19"/>
      <c r="J107" s="19"/>
      <c r="K107" s="19"/>
      <c r="L107" s="19"/>
      <c r="M107" s="19"/>
      <c r="N107" s="19"/>
      <c r="O107" s="19"/>
      <c r="P107" s="38"/>
    </row>
    <row r="108" spans="7:27" x14ac:dyDescent="0.25">
      <c r="G108" s="37"/>
      <c r="H108" s="19"/>
      <c r="I108" s="19"/>
      <c r="J108" s="19"/>
      <c r="K108" s="19"/>
      <c r="L108" s="19"/>
      <c r="M108" s="19"/>
      <c r="N108" s="19"/>
      <c r="O108" s="19"/>
      <c r="P108" s="38"/>
    </row>
    <row r="109" spans="7:27" x14ac:dyDescent="0.25">
      <c r="G109" s="37"/>
      <c r="H109" s="19"/>
      <c r="I109" s="19"/>
      <c r="J109" s="19"/>
      <c r="K109" s="19"/>
      <c r="L109" s="19"/>
      <c r="M109" s="19"/>
      <c r="N109" s="19"/>
      <c r="O109" s="19"/>
      <c r="P109" s="38"/>
    </row>
  </sheetData>
  <phoneticPr fontId="1" type="noConversion"/>
  <conditionalFormatting sqref="I3:I109">
    <cfRule type="cellIs" dxfId="11" priority="1" operator="equal">
      <formula>"Yes"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GallonsPerDipSite.UpdateAllSummaries" altText="Refresh all Master sheet Calculations &quot;click me&quot;">
                <anchor moveWithCells="1" sizeWithCells="1">
                  <from>
                    <xdr:col>1</xdr:col>
                    <xdr:colOff>238125</xdr:colOff>
                    <xdr:row>0</xdr:row>
                    <xdr:rowOff>95250</xdr:rowOff>
                  </from>
                  <to>
                    <xdr:col>26</xdr:col>
                    <xdr:colOff>495300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690C2E-1935-4FC7-8869-AC3DAA593026}">
          <x14:formula1>
            <xm:f>'Background data sheet ignore'!$B$3:$B$4</xm:f>
          </x14:formula1>
          <xm:sqref>I3:I109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A4755-42CD-438C-828B-8F5FD6AE3AB9}">
  <sheetPr codeName="Sheet2"/>
  <dimension ref="A1:M31"/>
  <sheetViews>
    <sheetView workbookViewId="0">
      <selection activeCell="F10" sqref="F10"/>
    </sheetView>
  </sheetViews>
  <sheetFormatPr defaultRowHeight="15" x14ac:dyDescent="0.25"/>
  <cols>
    <col min="1" max="1" width="27.5703125" customWidth="1"/>
    <col min="2" max="3" width="15.7109375" customWidth="1"/>
  </cols>
  <sheetData>
    <row r="1" spans="1:13" ht="19.5" thickTop="1" x14ac:dyDescent="0.3">
      <c r="A1" s="58" t="s">
        <v>37</v>
      </c>
      <c r="B1" s="21" t="s">
        <v>45</v>
      </c>
      <c r="C1" s="21" t="s">
        <v>29</v>
      </c>
      <c r="D1" s="21" t="s">
        <v>63</v>
      </c>
      <c r="E1" s="21" t="s">
        <v>65</v>
      </c>
      <c r="F1" s="21" t="s">
        <v>66</v>
      </c>
      <c r="G1" s="21"/>
      <c r="H1" s="21"/>
      <c r="I1" s="21"/>
      <c r="J1" s="21"/>
      <c r="K1" s="21"/>
      <c r="L1" s="22"/>
      <c r="M1" s="23"/>
    </row>
    <row r="2" spans="1:13" x14ac:dyDescent="0.25">
      <c r="A2" s="56" t="s">
        <v>30</v>
      </c>
      <c r="B2" s="24" t="s">
        <v>18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5"/>
    </row>
    <row r="3" spans="1:13" x14ac:dyDescent="0.25">
      <c r="A3" s="56" t="s">
        <v>31</v>
      </c>
      <c r="B3" s="24" t="s">
        <v>18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5"/>
    </row>
    <row r="4" spans="1:13" x14ac:dyDescent="0.25">
      <c r="A4" s="56" t="s">
        <v>32</v>
      </c>
      <c r="B4" s="24"/>
      <c r="C4" s="24" t="s">
        <v>18</v>
      </c>
      <c r="D4" s="24"/>
      <c r="E4" s="24"/>
      <c r="F4" s="24"/>
      <c r="G4" s="24"/>
      <c r="H4" s="24"/>
      <c r="I4" s="24"/>
      <c r="J4" s="24"/>
      <c r="K4" s="24"/>
      <c r="L4" s="24"/>
      <c r="M4" s="25"/>
    </row>
    <row r="5" spans="1:13" x14ac:dyDescent="0.25">
      <c r="A5" s="56" t="s">
        <v>62</v>
      </c>
      <c r="B5" s="24"/>
      <c r="C5" s="24"/>
      <c r="D5" s="24" t="s">
        <v>18</v>
      </c>
      <c r="E5" s="24" t="s">
        <v>18</v>
      </c>
      <c r="F5" s="24" t="s">
        <v>18</v>
      </c>
      <c r="G5" s="24"/>
      <c r="H5" s="24"/>
      <c r="I5" s="24"/>
      <c r="J5" s="24"/>
      <c r="K5" s="24"/>
      <c r="L5" s="24"/>
      <c r="M5" s="25"/>
    </row>
    <row r="6" spans="1:13" x14ac:dyDescent="0.25">
      <c r="A6" s="56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5"/>
    </row>
    <row r="7" spans="1:13" x14ac:dyDescent="0.25">
      <c r="A7" s="56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5"/>
    </row>
    <row r="8" spans="1:13" x14ac:dyDescent="0.25">
      <c r="A8" s="56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5"/>
    </row>
    <row r="9" spans="1:13" x14ac:dyDescent="0.25">
      <c r="A9" s="56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5"/>
    </row>
    <row r="10" spans="1:13" x14ac:dyDescent="0.25">
      <c r="A10" s="56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5"/>
    </row>
    <row r="11" spans="1:13" x14ac:dyDescent="0.25">
      <c r="A11" s="56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5"/>
    </row>
    <row r="12" spans="1:13" x14ac:dyDescent="0.25">
      <c r="A12" s="56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5"/>
    </row>
    <row r="13" spans="1:13" x14ac:dyDescent="0.25">
      <c r="A13" s="56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5"/>
    </row>
    <row r="14" spans="1:13" x14ac:dyDescent="0.25">
      <c r="A14" s="56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5"/>
    </row>
    <row r="15" spans="1:13" x14ac:dyDescent="0.25">
      <c r="A15" s="56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5"/>
    </row>
    <row r="16" spans="1:13" x14ac:dyDescent="0.25">
      <c r="A16" s="56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5"/>
    </row>
    <row r="17" spans="1:13" x14ac:dyDescent="0.25">
      <c r="A17" s="56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5"/>
    </row>
    <row r="18" spans="1:13" x14ac:dyDescent="0.25">
      <c r="A18" s="56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5"/>
    </row>
    <row r="19" spans="1:13" x14ac:dyDescent="0.25">
      <c r="A19" s="56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5"/>
    </row>
    <row r="20" spans="1:13" x14ac:dyDescent="0.25">
      <c r="A20" s="56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5"/>
    </row>
    <row r="21" spans="1:13" x14ac:dyDescent="0.25">
      <c r="A21" s="56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5"/>
    </row>
    <row r="22" spans="1:13" x14ac:dyDescent="0.25">
      <c r="A22" s="56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5"/>
    </row>
    <row r="23" spans="1:13" x14ac:dyDescent="0.25">
      <c r="A23" s="56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5"/>
    </row>
    <row r="24" spans="1:13" x14ac:dyDescent="0.25">
      <c r="A24" s="56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5"/>
    </row>
    <row r="25" spans="1:13" x14ac:dyDescent="0.25">
      <c r="A25" s="56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5"/>
    </row>
    <row r="26" spans="1:13" x14ac:dyDescent="0.25">
      <c r="A26" s="56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5"/>
    </row>
    <row r="27" spans="1:13" x14ac:dyDescent="0.25">
      <c r="A27" s="56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5"/>
    </row>
    <row r="28" spans="1:13" x14ac:dyDescent="0.25">
      <c r="A28" s="56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5"/>
    </row>
    <row r="29" spans="1:13" x14ac:dyDescent="0.25">
      <c r="A29" s="56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5"/>
    </row>
    <row r="30" spans="1:13" ht="15.75" thickBot="1" x14ac:dyDescent="0.3">
      <c r="A30" s="57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7"/>
    </row>
    <row r="31" spans="1:13" ht="15.75" thickTop="1" x14ac:dyDescent="0.25"/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A4164E-7051-4E58-BD33-875B220F1C67}">
          <x14:formula1>
            <xm:f>Helibase_Master_Sheet!$B$3:$B$33</xm:f>
          </x14:formula1>
          <xm:sqref>A2:A28</xm:sqref>
        </x14:dataValidation>
        <x14:dataValidation type="list" showInputMessage="1" showErrorMessage="1" xr:uid="{AE977B92-CE25-45A0-A2C8-A99A8D3ED3D5}">
          <x14:formula1>
            <xm:f>'Background data sheet ignore'!$B$3:$B$5</xm:f>
          </x14:formula1>
          <xm:sqref>B2:K23</xm:sqref>
        </x14:dataValidation>
        <x14:dataValidation type="list" allowBlank="1" showInputMessage="1" showErrorMessage="1" xr:uid="{0E88D9B7-16BC-4DC2-AAC7-A92A569AB7A7}">
          <x14:formula1>
            <xm:f>Helibase_Master_Sheet!$G$3:$G$104</xm:f>
          </x14:formula1>
          <xm:sqref>B1:K1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A3945-A4EF-4635-96C7-2FA0A2BAB422}">
  <sheetPr codeName="Sheet3"/>
  <dimension ref="A1:A2"/>
  <sheetViews>
    <sheetView workbookViewId="0">
      <selection sqref="A1:XFD1048576"/>
    </sheetView>
  </sheetViews>
  <sheetFormatPr defaultRowHeight="15" x14ac:dyDescent="0.25"/>
  <sheetData>
    <row r="1" spans="1:1" x14ac:dyDescent="0.25">
      <c r="A1" t="s">
        <v>57</v>
      </c>
    </row>
    <row r="2" spans="1:1" x14ac:dyDescent="0.25">
      <c r="A2" t="s">
        <v>58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CF466-7BBF-424A-8252-BB0CD537D336}">
  <sheetPr codeName="Sheet13"/>
  <dimension ref="A1:AH34"/>
  <sheetViews>
    <sheetView tabSelected="1" zoomScale="70" zoomScaleNormal="70" workbookViewId="0">
      <selection activeCell="J46" sqref="J46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8.5703125" customWidth="1"/>
    <col min="15" max="15" width="17.85546875" customWidth="1"/>
    <col min="16" max="16" width="12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0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0</v>
      </c>
      <c r="O3" t="s">
        <v>56</v>
      </c>
      <c r="P3" s="15">
        <f>N3/45</f>
        <v>0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0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0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0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85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/>
      <c r="H16" s="2"/>
      <c r="I16" s="2"/>
      <c r="J16" s="2"/>
      <c r="K16" s="2"/>
      <c r="L16" s="85">
        <f t="shared" si="0"/>
        <v>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/>
      <c r="G24" s="5"/>
      <c r="H24" s="5"/>
      <c r="I24" s="5"/>
      <c r="J24" s="5"/>
      <c r="K24" s="5"/>
      <c r="L24" s="49">
        <f t="shared" si="0"/>
        <v>0</v>
      </c>
      <c r="M24" s="8">
        <f>SUM(L24:L32)</f>
        <v>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/>
      <c r="G26" s="2"/>
      <c r="H26" s="2"/>
      <c r="I26" s="2"/>
      <c r="J26" s="2"/>
      <c r="K26" s="2"/>
      <c r="L26" s="49">
        <f t="shared" si="0"/>
        <v>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/>
      <c r="G27" s="2"/>
      <c r="H27" s="2"/>
      <c r="I27" s="2"/>
      <c r="J27" s="2"/>
      <c r="K27" s="2"/>
      <c r="L27" s="49">
        <f t="shared" si="0"/>
        <v>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32" xr:uid="{48782A67-64A4-49CF-8FBA-48DC3423EF1B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80B45F-C935-469E-9E87-1ED32BD8FA85}">
          <x14:formula1>
            <xm:f>Helibase_Master_Sheet!$R$3:$R$101</xm:f>
          </x14:formula1>
          <xm:sqref>D3:D32</xm:sqref>
        </x14:dataValidation>
        <x14:dataValidation type="list" allowBlank="1" showInputMessage="1" showErrorMessage="1" xr:uid="{32AFFFCC-344B-4642-867E-F2F42630659A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A907D373-D8E0-48D5-85AC-1EA313C23BD7}">
          <x14:formula1>
            <xm:f>Helibase_Master_Sheet!$B$3:$B$33</xm:f>
          </x14:formula1>
          <xm:sqref>B14 B3 B24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FAF-8AB0-44CD-B1D2-9BD0ECBF50C2}">
  <sheetPr codeName="Sheet14"/>
  <dimension ref="A1:AH34"/>
  <sheetViews>
    <sheetView zoomScale="70" zoomScaleNormal="70" workbookViewId="0">
      <selection activeCell="M43" sqref="M43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8.5703125" customWidth="1"/>
    <col min="15" max="15" width="17.85546875" customWidth="1"/>
    <col min="16" max="16" width="12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0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0</v>
      </c>
      <c r="O3" t="s">
        <v>56</v>
      </c>
      <c r="P3" s="15">
        <f>N3/45</f>
        <v>0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0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0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0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85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/>
      <c r="H16" s="2"/>
      <c r="I16" s="2"/>
      <c r="J16" s="2"/>
      <c r="K16" s="2"/>
      <c r="L16" s="85">
        <f t="shared" si="0"/>
        <v>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/>
      <c r="G24" s="5"/>
      <c r="H24" s="5"/>
      <c r="I24" s="5"/>
      <c r="J24" s="5"/>
      <c r="K24" s="5"/>
      <c r="L24" s="49">
        <f t="shared" si="0"/>
        <v>0</v>
      </c>
      <c r="M24" s="8">
        <f>SUM(L24:L32)</f>
        <v>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/>
      <c r="G26" s="2"/>
      <c r="H26" s="2"/>
      <c r="I26" s="2"/>
      <c r="J26" s="2"/>
      <c r="K26" s="2"/>
      <c r="L26" s="49">
        <f t="shared" si="0"/>
        <v>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/>
      <c r="G27" s="2"/>
      <c r="H27" s="2"/>
      <c r="I27" s="2"/>
      <c r="J27" s="2"/>
      <c r="K27" s="2"/>
      <c r="L27" s="49">
        <f t="shared" si="0"/>
        <v>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32" xr:uid="{E631E00F-8E40-4643-BD89-2AC4EB0450E8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AE2884-7B6E-4FE7-A9F8-601FFF002525}">
          <x14:formula1>
            <xm:f>Helibase_Master_Sheet!$B$3:$B$33</xm:f>
          </x14:formula1>
          <xm:sqref>B14 B3 B24</xm:sqref>
        </x14:dataValidation>
        <x14:dataValidation type="list" allowBlank="1" showInputMessage="1" showErrorMessage="1" xr:uid="{CAC2E070-B283-4672-9A09-0927C4C9C12A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BBEADB4D-80B0-44E5-B335-63B994194124}">
          <x14:formula1>
            <xm:f>Helibase_Master_Sheet!$R$3:$R$101</xm:f>
          </x14:formula1>
          <xm:sqref>D3:D32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86A4A-712B-4946-AA38-43A7F7FF02B4}">
  <sheetPr codeName="Sheet4"/>
  <dimension ref="A1:AH34"/>
  <sheetViews>
    <sheetView zoomScale="70" zoomScaleNormal="70" workbookViewId="0">
      <selection activeCell="F3" sqref="F3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8.5703125" customWidth="1"/>
    <col min="15" max="15" width="17.85546875" customWidth="1"/>
    <col min="16" max="16" width="12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2390.7692307692309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62160</v>
      </c>
      <c r="O3" t="s">
        <v>56</v>
      </c>
      <c r="P3" s="15">
        <f>N3/45</f>
        <v>1381.3333333333333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9.4181818181818186E-2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5.18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77.7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85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23000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>
        <v>12</v>
      </c>
      <c r="H16" s="2">
        <v>11</v>
      </c>
      <c r="I16" s="2"/>
      <c r="J16" s="2"/>
      <c r="K16" s="2"/>
      <c r="L16" s="85">
        <f t="shared" si="0"/>
        <v>23000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>
        <v>20</v>
      </c>
      <c r="G24" s="5">
        <v>20</v>
      </c>
      <c r="H24" s="5">
        <v>19</v>
      </c>
      <c r="I24" s="5"/>
      <c r="J24" s="5"/>
      <c r="K24" s="5"/>
      <c r="L24" s="49">
        <f t="shared" si="0"/>
        <v>14160</v>
      </c>
      <c r="M24" s="8">
        <f>SUM(L24:L32)</f>
        <v>39160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>
        <v>17</v>
      </c>
      <c r="G26" s="2">
        <v>8</v>
      </c>
      <c r="H26" s="2"/>
      <c r="I26" s="2"/>
      <c r="J26" s="2"/>
      <c r="K26" s="2"/>
      <c r="L26" s="49">
        <f t="shared" si="0"/>
        <v>25000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/>
      <c r="G27" s="2"/>
      <c r="H27" s="2"/>
      <c r="I27" s="2"/>
      <c r="J27" s="2"/>
      <c r="K27" s="2"/>
      <c r="L27" s="49">
        <f t="shared" si="0"/>
        <v>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32" xr:uid="{46678637-0105-4736-98CF-54C1AB18422D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986F8F-52D2-4551-B392-B69C23CE350E}">
          <x14:formula1>
            <xm:f>Helibase_Master_Sheet!$B$3:$B$33</xm:f>
          </x14:formula1>
          <xm:sqref>B14 B3 B24</xm:sqref>
        </x14:dataValidation>
        <x14:dataValidation type="list" allowBlank="1" showInputMessage="1" showErrorMessage="1" xr:uid="{9B7BD7DE-F634-44D2-9029-C204D845D3FA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E6D88FC4-50D0-4732-B298-168FAD8E3D83}">
          <x14:formula1>
            <xm:f>Helibase_Master_Sheet!$R$3:$R$101</xm:f>
          </x14:formula1>
          <xm:sqref>D3:D32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51BA-AA95-4107-933D-939F57CFB2D1}">
  <sheetPr codeName="Sheet5"/>
  <dimension ref="A1:AH34"/>
  <sheetViews>
    <sheetView zoomScale="70" zoomScaleNormal="70" workbookViewId="0">
      <selection activeCell="E34" sqref="E34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3.28515625" style="46" customWidth="1"/>
    <col min="13" max="13" width="16.140625" style="46" customWidth="1"/>
    <col min="14" max="14" width="11.85546875" customWidth="1"/>
    <col min="15" max="15" width="17.85546875" customWidth="1"/>
    <col min="16" max="16" width="10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1010.7692307692307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26280</v>
      </c>
      <c r="O3" t="s">
        <v>56</v>
      </c>
      <c r="P3" s="15">
        <f>N3/45</f>
        <v>584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3.9818181818181815E-2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2.19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32.85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49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26280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>
        <v>8</v>
      </c>
      <c r="G15" s="2"/>
      <c r="H15" s="2"/>
      <c r="I15" s="2"/>
      <c r="J15" s="2"/>
      <c r="K15" s="2"/>
      <c r="L15" s="49">
        <f t="shared" si="0"/>
        <v>5280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>
        <v>21</v>
      </c>
      <c r="G16" s="2"/>
      <c r="H16" s="2"/>
      <c r="I16" s="2"/>
      <c r="J16" s="2"/>
      <c r="K16" s="2"/>
      <c r="L16" s="49">
        <f t="shared" si="0"/>
        <v>21000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/>
      <c r="G24" s="5"/>
      <c r="H24" s="5"/>
      <c r="I24" s="5"/>
      <c r="J24" s="5"/>
      <c r="K24" s="5"/>
      <c r="L24" s="49">
        <f t="shared" si="0"/>
        <v>0</v>
      </c>
      <c r="M24" s="8">
        <f>SUM(L24:L32)</f>
        <v>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/>
      <c r="G26" s="2"/>
      <c r="H26" s="2"/>
      <c r="I26" s="2"/>
      <c r="J26" s="2"/>
      <c r="K26" s="2"/>
      <c r="L26" s="49">
        <f t="shared" si="0"/>
        <v>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/>
      <c r="G27" s="2"/>
      <c r="H27" s="2"/>
      <c r="I27" s="2"/>
      <c r="J27" s="2"/>
      <c r="K27" s="2"/>
      <c r="L27" s="49">
        <f t="shared" si="0"/>
        <v>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32" xr:uid="{54BDFA16-0E6B-4527-B083-B21BD92E4680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C6491A-72AB-487F-95FE-813028F7CEDF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B8EEE122-B401-432A-B749-4449311D71B4}">
          <x14:formula1>
            <xm:f>Helibase_Master_Sheet!$B$3:$B$33</xm:f>
          </x14:formula1>
          <xm:sqref>B14 B3 B24</xm:sqref>
        </x14:dataValidation>
        <x14:dataValidation type="list" allowBlank="1" showInputMessage="1" showErrorMessage="1" xr:uid="{F29C5E54-16AC-46C7-9179-13AAD60754B0}">
          <x14:formula1>
            <xm:f>Helibase_Master_Sheet!$R$3:$R$101</xm:f>
          </x14:formula1>
          <xm:sqref>D3:D32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433E6-EE13-4E91-B9B3-65142111F71B}">
  <sheetPr codeName="Sheet6"/>
  <dimension ref="A1:AH34"/>
  <sheetViews>
    <sheetView zoomScale="70" zoomScaleNormal="70" workbookViewId="0">
      <selection activeCell="Q40" sqref="Q40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1.85546875" customWidth="1"/>
    <col min="15" max="15" width="17.85546875" customWidth="1"/>
    <col min="16" max="16" width="10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4458.4615384615381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115920</v>
      </c>
      <c r="O3" t="s">
        <v>56</v>
      </c>
      <c r="P3" s="15">
        <f>N3/45</f>
        <v>2576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0.17563636363636365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9.66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144.9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49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54000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>
        <v>24</v>
      </c>
      <c r="G16" s="2">
        <v>19</v>
      </c>
      <c r="H16" s="2">
        <v>11</v>
      </c>
      <c r="I16" s="2"/>
      <c r="J16" s="2"/>
      <c r="K16" s="2"/>
      <c r="L16" s="49">
        <f t="shared" si="0"/>
        <v>54000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>
        <v>17</v>
      </c>
      <c r="G24" s="5">
        <v>20</v>
      </c>
      <c r="H24" s="5"/>
      <c r="I24" s="5"/>
      <c r="J24" s="5"/>
      <c r="K24" s="5"/>
      <c r="L24" s="49">
        <f t="shared" si="0"/>
        <v>8880</v>
      </c>
      <c r="M24" s="8">
        <f>SUM(L24:L32)</f>
        <v>61920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>
        <v>13</v>
      </c>
      <c r="G25" s="2">
        <v>15</v>
      </c>
      <c r="H25" s="2">
        <v>16</v>
      </c>
      <c r="I25" s="2"/>
      <c r="J25" s="2"/>
      <c r="K25" s="2"/>
      <c r="L25" s="49">
        <f t="shared" si="0"/>
        <v>29040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/>
      <c r="G26" s="2"/>
      <c r="H26" s="2"/>
      <c r="I26" s="2"/>
      <c r="J26" s="2"/>
      <c r="K26" s="2"/>
      <c r="L26" s="49">
        <f t="shared" si="0"/>
        <v>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>
        <v>12</v>
      </c>
      <c r="G27" s="2"/>
      <c r="H27" s="2"/>
      <c r="I27" s="2"/>
      <c r="J27" s="2"/>
      <c r="K27" s="2"/>
      <c r="L27" s="49">
        <f t="shared" si="0"/>
        <v>24000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32" xr:uid="{53FA3789-EB16-481F-A0A6-FB4BB9604E53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7964ED-A9B5-43B6-9E09-11592D674916}">
          <x14:formula1>
            <xm:f>Helibase_Master_Sheet!$B$3:$B$33</xm:f>
          </x14:formula1>
          <xm:sqref>B14 B3 B24</xm:sqref>
        </x14:dataValidation>
        <x14:dataValidation type="list" allowBlank="1" showInputMessage="1" showErrorMessage="1" xr:uid="{A1933E56-46F6-4052-964B-EE3DA5C11F58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180DE687-AB20-44E9-BF2C-1FCCDF9B1D37}">
          <x14:formula1>
            <xm:f>Helibase_Master_Sheet!$R$3:$R$101</xm:f>
          </x14:formula1>
          <xm:sqref>D3:D32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3853-8B52-4E88-BA18-5523ECCBE243}">
  <sheetPr codeName="Sheet7"/>
  <dimension ref="A1:AH34"/>
  <sheetViews>
    <sheetView zoomScaleNormal="100" workbookViewId="0">
      <selection activeCell="C3" sqref="C3:C7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8.42578125" customWidth="1"/>
    <col min="15" max="15" width="17.85546875" customWidth="1"/>
    <col min="16" max="16" width="10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2415.3846153846152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62800</v>
      </c>
      <c r="O3" t="s">
        <v>56</v>
      </c>
      <c r="P3" s="15">
        <f>N3/45</f>
        <v>1395.5555555555557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9.5151515151515154E-2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5.2333333333333334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78.5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49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35240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>
        <v>14</v>
      </c>
      <c r="G15" s="2"/>
      <c r="H15" s="2"/>
      <c r="I15" s="2"/>
      <c r="J15" s="2"/>
      <c r="K15" s="2"/>
      <c r="L15" s="49">
        <f t="shared" si="0"/>
        <v>9240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/>
      <c r="H16" s="2"/>
      <c r="I16" s="2"/>
      <c r="J16" s="2"/>
      <c r="K16" s="2"/>
      <c r="L16" s="49">
        <f t="shared" si="0"/>
        <v>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>
        <v>13</v>
      </c>
      <c r="G17" s="2"/>
      <c r="H17" s="2"/>
      <c r="I17" s="2"/>
      <c r="J17" s="2"/>
      <c r="K17" s="2"/>
      <c r="L17" s="49">
        <f t="shared" si="0"/>
        <v>26000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/>
      <c r="G24" s="5"/>
      <c r="H24" s="5"/>
      <c r="I24" s="5"/>
      <c r="J24" s="5"/>
      <c r="K24" s="5"/>
      <c r="L24" s="49">
        <f t="shared" si="0"/>
        <v>0</v>
      </c>
      <c r="M24" s="8">
        <f>SUM(L24:L32)</f>
        <v>27560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>
        <v>16</v>
      </c>
      <c r="G25" s="2"/>
      <c r="H25" s="2"/>
      <c r="I25" s="2"/>
      <c r="J25" s="2"/>
      <c r="K25" s="2"/>
      <c r="L25" s="49">
        <f t="shared" si="0"/>
        <v>10560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>
        <v>17</v>
      </c>
      <c r="G26" s="2"/>
      <c r="H26" s="2"/>
      <c r="I26" s="2"/>
      <c r="J26" s="2"/>
      <c r="K26" s="2"/>
      <c r="L26" s="49">
        <f t="shared" si="0"/>
        <v>17000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/>
      <c r="G27" s="2"/>
      <c r="H27" s="2"/>
      <c r="I27" s="2"/>
      <c r="J27" s="2"/>
      <c r="K27" s="2"/>
      <c r="L27" s="49">
        <f t="shared" si="0"/>
        <v>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32" xr:uid="{024587B7-CD9F-4258-8805-0D8281516552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314D56-D67B-4389-9FC1-945074A1EA46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77079D93-BB85-4419-9CBD-3B724A9A0CCD}">
          <x14:formula1>
            <xm:f>Helibase_Master_Sheet!$B$3:$B$33</xm:f>
          </x14:formula1>
          <xm:sqref>B14 B3 B24</xm:sqref>
        </x14:dataValidation>
        <x14:dataValidation type="list" allowBlank="1" showInputMessage="1" showErrorMessage="1" xr:uid="{3EA5F523-BC82-4867-BEB6-29EB4CDC6224}">
          <x14:formula1>
            <xm:f>Helibase_Master_Sheet!$R$3:$R$101</xm:f>
          </x14:formula1>
          <xm:sqref>D3:D32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C2FEC-E743-48C6-9C52-04F7773D0908}">
  <sheetPr codeName="Sheet8"/>
  <dimension ref="A1:AH34"/>
  <sheetViews>
    <sheetView zoomScale="70" zoomScaleNormal="70" workbookViewId="0">
      <selection activeCell="AC1" sqref="AC1:AF1048576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1.85546875" customWidth="1"/>
    <col min="15" max="15" width="17.85546875" customWidth="1"/>
    <col min="16" max="16" width="10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1961.5384615384614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SUM(M3:M32)</f>
        <v>51000</v>
      </c>
      <c r="O3" t="s">
        <v>56</v>
      </c>
      <c r="P3" s="15">
        <f>N3/45</f>
        <v>1133.3333333333333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7.7272727272727271E-2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4.25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63.75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49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 s="8">
        <f>SUM(L14:L23)</f>
        <v>0</v>
      </c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/>
      <c r="H16" s="2"/>
      <c r="I16" s="2"/>
      <c r="J16" s="2"/>
      <c r="K16" s="2"/>
      <c r="L16" s="49">
        <f t="shared" si="0"/>
        <v>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/>
      <c r="G24" s="5"/>
      <c r="H24" s="5"/>
      <c r="I24" s="5"/>
      <c r="J24" s="5"/>
      <c r="K24" s="5"/>
      <c r="L24" s="49">
        <f t="shared" si="0"/>
        <v>0</v>
      </c>
      <c r="M24" s="8">
        <f>SUM(L24:L32)</f>
        <v>51000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>
        <v>21</v>
      </c>
      <c r="G26" s="2"/>
      <c r="H26" s="2"/>
      <c r="I26" s="2"/>
      <c r="J26" s="2"/>
      <c r="K26" s="2"/>
      <c r="L26" s="49">
        <f t="shared" si="0"/>
        <v>21000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>
        <v>15</v>
      </c>
      <c r="G27" s="2"/>
      <c r="H27" s="2"/>
      <c r="I27" s="2"/>
      <c r="J27" s="2"/>
      <c r="K27" s="2"/>
      <c r="L27" s="49">
        <f t="shared" si="0"/>
        <v>30000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2"/>
      <c r="D28" s="52"/>
      <c r="E28" s="2"/>
      <c r="F28" s="2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x14ac:dyDescent="0.25">
      <c r="B32" s="1"/>
      <c r="C32" s="2"/>
      <c r="D32" s="52"/>
      <c r="E32" s="2"/>
      <c r="F32" s="2"/>
      <c r="G32" s="2"/>
      <c r="H32" s="2"/>
      <c r="I32" s="2"/>
      <c r="J32" s="2"/>
      <c r="K32" s="2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9:32" x14ac:dyDescent="0.25">
      <c r="AC33">
        <f>_xlfn.XLOOKUP(D33, Table5[Tail numbers], Table5[bucket 1], "")</f>
        <v>0</v>
      </c>
      <c r="AD33">
        <f>_xlfn.XLOOKUP(D33, Table5[Tail numbers], Table5[bucket 2], "")</f>
        <v>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9:32" x14ac:dyDescent="0.25">
      <c r="AC34">
        <f>_xlfn.XLOOKUP(D34, Table5[Tail numbers], Table5[bucket 1], "")</f>
        <v>0</v>
      </c>
      <c r="AD34">
        <f>_xlfn.XLOOKUP(D34, Table5[Tail numbers], Table5[bucket 2], "")</f>
        <v>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</sheetData>
  <mergeCells count="1">
    <mergeCell ref="A2:A24"/>
  </mergeCells>
  <phoneticPr fontId="1" type="noConversion"/>
  <dataValidations count="1">
    <dataValidation type="list" allowBlank="1" showInputMessage="1" showErrorMessage="1" sqref="E3:E32" xr:uid="{DF081D74-9616-46D8-BD6F-985DCDEA4432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563672-B35A-4FE2-B443-40E8B09F4CCB}">
          <x14:formula1>
            <xm:f>Helibase_Master_Sheet!$B$3:$B$33</xm:f>
          </x14:formula1>
          <xm:sqref>B14 B3 B24</xm:sqref>
        </x14:dataValidation>
        <x14:dataValidation type="list" allowBlank="1" showInputMessage="1" showErrorMessage="1" xr:uid="{EFD4ADB8-EDC8-42C8-80F0-12D2073E04A9}">
          <x14:formula1>
            <xm:f>Helibase_Master_Sheet!$G$3:$G$104</xm:f>
          </x14:formula1>
          <xm:sqref>C3:C32</xm:sqref>
        </x14:dataValidation>
        <x14:dataValidation type="list" allowBlank="1" showInputMessage="1" showErrorMessage="1" xr:uid="{8604E0B1-E2C2-4B04-8445-B7FD06EDF369}">
          <x14:formula1>
            <xm:f>Helibase_Master_Sheet!$R$3:$R$101</xm:f>
          </x14:formula1>
          <xm:sqref>D3:D32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8E955-DA28-4AA9-B267-F77AA0F1730F}">
  <sheetPr codeName="Sheet9"/>
  <dimension ref="A1:AH41"/>
  <sheetViews>
    <sheetView zoomScale="70" zoomScaleNormal="70" workbookViewId="0">
      <selection activeCell="P22" sqref="P22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3" width="16.140625" style="46" customWidth="1"/>
    <col min="14" max="14" width="17.7109375" customWidth="1"/>
    <col min="15" max="15" width="17.85546875" customWidth="1"/>
    <col min="16" max="16" width="10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3400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SUM(M3:M127)</f>
        <v>88400</v>
      </c>
      <c r="O3" t="s">
        <v>56</v>
      </c>
      <c r="P3" s="15">
        <f>N3/45</f>
        <v>1964.4444444444443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32" si="0">SUM(F4:K4)*E4</f>
        <v>0</v>
      </c>
      <c r="M4"/>
      <c r="P4" s="16">
        <f>N3/660000</f>
        <v>0.13393939393939394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7.3666666666666663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110.5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49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/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M15" s="8">
        <f>SUM(L14:L23)</f>
        <v>0</v>
      </c>
      <c r="P15">
        <f>SUM(F3:K82)</f>
        <v>89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/>
      <c r="H16" s="2"/>
      <c r="I16" s="2"/>
      <c r="J16" s="2"/>
      <c r="K16" s="2"/>
      <c r="L16" s="49">
        <f t="shared" si="0"/>
        <v>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>
        <v>8</v>
      </c>
      <c r="G24" s="5"/>
      <c r="H24" s="5"/>
      <c r="I24" s="5"/>
      <c r="J24" s="5"/>
      <c r="K24" s="5"/>
      <c r="L24" s="49">
        <f t="shared" si="0"/>
        <v>1920</v>
      </c>
      <c r="M24" s="8">
        <f>SUM(L24:L32)</f>
        <v>69920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>
        <v>30</v>
      </c>
      <c r="G26" s="2">
        <v>8</v>
      </c>
      <c r="H26" s="2"/>
      <c r="I26" s="2"/>
      <c r="J26" s="2"/>
      <c r="K26" s="2"/>
      <c r="L26" s="49">
        <f t="shared" si="0"/>
        <v>38000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>
        <v>7</v>
      </c>
      <c r="G27" s="2"/>
      <c r="H27" s="2"/>
      <c r="I27" s="2"/>
      <c r="J27" s="2"/>
      <c r="K27" s="2"/>
      <c r="L27" s="49">
        <f t="shared" si="0"/>
        <v>14000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81" t="s">
        <v>29</v>
      </c>
      <c r="D28" s="82" t="s">
        <v>64</v>
      </c>
      <c r="E28" s="81">
        <v>2000</v>
      </c>
      <c r="F28" s="81">
        <v>8</v>
      </c>
      <c r="G28" s="2"/>
      <c r="H28" s="2"/>
      <c r="I28" s="2"/>
      <c r="J28" s="2"/>
      <c r="K28" s="2"/>
      <c r="L28" s="49">
        <f t="shared" si="0"/>
        <v>16000</v>
      </c>
      <c r="M28"/>
      <c r="AC28">
        <f>_xlfn.XLOOKUP(D28, Table5[Tail numbers], Table5[bucket 1], "")</f>
        <v>2000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ht="15.75" thickBot="1" x14ac:dyDescent="0.3">
      <c r="B32" s="1"/>
      <c r="C32" s="2"/>
      <c r="D32" s="79"/>
      <c r="E32" s="59"/>
      <c r="F32" s="59"/>
      <c r="G32" s="59"/>
      <c r="H32" s="59"/>
      <c r="I32" s="59"/>
      <c r="J32" s="59"/>
      <c r="K32" s="59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:32" x14ac:dyDescent="0.25">
      <c r="B33" s="13" t="s">
        <v>62</v>
      </c>
      <c r="C33" s="61" t="s">
        <v>65</v>
      </c>
      <c r="D33" s="80" t="s">
        <v>44</v>
      </c>
      <c r="E33" s="61">
        <v>660</v>
      </c>
      <c r="F33" s="61">
        <v>4</v>
      </c>
      <c r="G33" s="61">
        <v>12</v>
      </c>
      <c r="H33" s="61"/>
      <c r="I33" s="61"/>
      <c r="J33" s="61"/>
      <c r="K33" s="61"/>
      <c r="L33" s="49">
        <f t="shared" ref="L33:L41" si="1">SUM(F33:K33)*E33</f>
        <v>10560</v>
      </c>
      <c r="M33" s="8">
        <f>SUM(L33:L41)</f>
        <v>18480</v>
      </c>
      <c r="AC33">
        <f>_xlfn.XLOOKUP(D33, Table5[Tail numbers], Table5[bucket 1], "")</f>
        <v>400</v>
      </c>
      <c r="AD33">
        <f>_xlfn.XLOOKUP(D33, Table5[Tail numbers], Table5[bucket 2], "")</f>
        <v>660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:32" x14ac:dyDescent="0.25">
      <c r="B34" s="1"/>
      <c r="C34" s="2" t="s">
        <v>63</v>
      </c>
      <c r="D34" s="52" t="s">
        <v>44</v>
      </c>
      <c r="E34" s="2">
        <v>660</v>
      </c>
      <c r="F34" s="5">
        <v>1</v>
      </c>
      <c r="G34" s="2"/>
      <c r="H34" s="2"/>
      <c r="I34" s="2"/>
      <c r="J34" s="2"/>
      <c r="K34" s="2"/>
      <c r="L34" s="49">
        <f>SUM(F34:K34)*E34</f>
        <v>660</v>
      </c>
      <c r="AC34">
        <f>_xlfn.XLOOKUP(D34, Table5[Tail numbers], Table5[bucket 1], "")</f>
        <v>400</v>
      </c>
      <c r="AD34">
        <f>_xlfn.XLOOKUP(D34, Table5[Tail numbers], Table5[bucket 2], "")</f>
        <v>660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  <row r="35" spans="2:32" x14ac:dyDescent="0.25">
      <c r="B35" s="1"/>
      <c r="C35" s="2" t="s">
        <v>66</v>
      </c>
      <c r="D35" s="52" t="s">
        <v>44</v>
      </c>
      <c r="E35" s="2">
        <v>660</v>
      </c>
      <c r="F35" s="2"/>
      <c r="G35" s="2"/>
      <c r="H35" s="2">
        <v>11</v>
      </c>
      <c r="I35" s="2"/>
      <c r="J35" s="2"/>
      <c r="K35" s="2"/>
      <c r="L35" s="49">
        <f t="shared" si="1"/>
        <v>7260</v>
      </c>
      <c r="P35">
        <f>SUM(F33:I38)</f>
        <v>28</v>
      </c>
      <c r="AC35">
        <f>_xlfn.XLOOKUP(D35, Table5[Tail numbers], Table5[bucket 1], "")</f>
        <v>400</v>
      </c>
      <c r="AD35">
        <f>_xlfn.XLOOKUP(D35, Table5[Tail numbers], Table5[bucket 2], "")</f>
        <v>660</v>
      </c>
      <c r="AE35">
        <f>_xlfn.XLOOKUP(D35, Table5[Tail numbers], Table5[bucket 3], "")</f>
        <v>0</v>
      </c>
      <c r="AF35">
        <f>_xlfn.XLOOKUP(D35, Table5[Tail numbers], Table5[bucket 4], "")</f>
        <v>0</v>
      </c>
    </row>
    <row r="36" spans="2:32" x14ac:dyDescent="0.25">
      <c r="B36" s="1"/>
      <c r="C36" s="2"/>
      <c r="D36" s="52"/>
      <c r="E36" s="2"/>
      <c r="F36" s="2"/>
      <c r="G36" s="2"/>
      <c r="H36" s="2"/>
      <c r="I36" s="2"/>
      <c r="J36" s="2"/>
      <c r="K36" s="2"/>
      <c r="L36" s="49">
        <f t="shared" si="1"/>
        <v>0</v>
      </c>
      <c r="AC36">
        <f>_xlfn.XLOOKUP(D36, Table5[Tail numbers], Table5[bucket 1], "")</f>
        <v>0</v>
      </c>
      <c r="AD36">
        <f>_xlfn.XLOOKUP(D36, Table5[Tail numbers], Table5[bucket 2], "")</f>
        <v>0</v>
      </c>
      <c r="AE36">
        <f>_xlfn.XLOOKUP(D36, Table5[Tail numbers], Table5[bucket 3], "")</f>
        <v>0</v>
      </c>
      <c r="AF36">
        <f>_xlfn.XLOOKUP(D36, Table5[Tail numbers], Table5[bucket 4], "")</f>
        <v>0</v>
      </c>
    </row>
    <row r="37" spans="2:32" x14ac:dyDescent="0.25">
      <c r="B37" s="1"/>
      <c r="C37" s="2"/>
      <c r="D37" s="52"/>
      <c r="E37" s="2"/>
      <c r="F37" s="2"/>
      <c r="G37" s="2"/>
      <c r="H37" s="2"/>
      <c r="I37" s="2"/>
      <c r="J37" s="2"/>
      <c r="K37" s="2"/>
      <c r="L37" s="49">
        <f t="shared" si="1"/>
        <v>0</v>
      </c>
      <c r="AC37">
        <f>_xlfn.XLOOKUP(D37, Table5[Tail numbers], Table5[bucket 1], "")</f>
        <v>0</v>
      </c>
      <c r="AD37">
        <f>_xlfn.XLOOKUP(D37, Table5[Tail numbers], Table5[bucket 2], "")</f>
        <v>0</v>
      </c>
      <c r="AE37">
        <f>_xlfn.XLOOKUP(D37, Table5[Tail numbers], Table5[bucket 3], "")</f>
        <v>0</v>
      </c>
      <c r="AF37">
        <f>_xlfn.XLOOKUP(D37, Table5[Tail numbers], Table5[bucket 4], "")</f>
        <v>0</v>
      </c>
    </row>
    <row r="38" spans="2:32" x14ac:dyDescent="0.25">
      <c r="B38" s="1"/>
      <c r="C38" s="2"/>
      <c r="D38" s="52"/>
      <c r="E38" s="2"/>
      <c r="F38" s="2"/>
      <c r="G38" s="2"/>
      <c r="H38" s="2"/>
      <c r="I38" s="2"/>
      <c r="J38" s="2"/>
      <c r="K38" s="2"/>
      <c r="L38" s="49">
        <f t="shared" si="1"/>
        <v>0</v>
      </c>
      <c r="AC38">
        <f>_xlfn.XLOOKUP(D38, Table5[Tail numbers], Table5[bucket 1], "")</f>
        <v>0</v>
      </c>
      <c r="AD38">
        <f>_xlfn.XLOOKUP(D38, Table5[Tail numbers], Table5[bucket 2], "")</f>
        <v>0</v>
      </c>
      <c r="AE38">
        <f>_xlfn.XLOOKUP(D38, Table5[Tail numbers], Table5[bucket 3], "")</f>
        <v>0</v>
      </c>
      <c r="AF38">
        <f>_xlfn.XLOOKUP(D38, Table5[Tail numbers], Table5[bucket 4], "")</f>
        <v>0</v>
      </c>
    </row>
    <row r="39" spans="2:32" x14ac:dyDescent="0.25">
      <c r="B39" s="1"/>
      <c r="C39" s="2"/>
      <c r="D39" s="52"/>
      <c r="E39" s="2"/>
      <c r="F39" s="2"/>
      <c r="G39" s="2"/>
      <c r="H39" s="2"/>
      <c r="I39" s="2"/>
      <c r="J39" s="2"/>
      <c r="K39" s="2"/>
      <c r="L39" s="49">
        <f t="shared" si="1"/>
        <v>0</v>
      </c>
      <c r="AC39">
        <f>_xlfn.XLOOKUP(D39, Table5[Tail numbers], Table5[bucket 1], "")</f>
        <v>0</v>
      </c>
      <c r="AD39">
        <f>_xlfn.XLOOKUP(D39, Table5[Tail numbers], Table5[bucket 2], "")</f>
        <v>0</v>
      </c>
      <c r="AE39">
        <f>_xlfn.XLOOKUP(D39, Table5[Tail numbers], Table5[bucket 3], "")</f>
        <v>0</v>
      </c>
      <c r="AF39">
        <f>_xlfn.XLOOKUP(D39, Table5[Tail numbers], Table5[bucket 4], "")</f>
        <v>0</v>
      </c>
    </row>
    <row r="40" spans="2:32" x14ac:dyDescent="0.25">
      <c r="B40" s="1"/>
      <c r="C40" s="2"/>
      <c r="D40" s="52"/>
      <c r="E40" s="2"/>
      <c r="F40" s="2"/>
      <c r="G40" s="2"/>
      <c r="H40" s="2"/>
      <c r="I40" s="2"/>
      <c r="J40" s="2"/>
      <c r="K40" s="2"/>
      <c r="L40" s="49">
        <f t="shared" si="1"/>
        <v>0</v>
      </c>
      <c r="AC40">
        <f>_xlfn.XLOOKUP(D40, Table5[Tail numbers], Table5[bucket 1], "")</f>
        <v>0</v>
      </c>
      <c r="AD40">
        <f>_xlfn.XLOOKUP(D40, Table5[Tail numbers], Table5[bucket 2], "")</f>
        <v>0</v>
      </c>
      <c r="AE40">
        <f>_xlfn.XLOOKUP(D40, Table5[Tail numbers], Table5[bucket 3], "")</f>
        <v>0</v>
      </c>
      <c r="AF40">
        <f>_xlfn.XLOOKUP(D40, Table5[Tail numbers], Table5[bucket 4], "")</f>
        <v>0</v>
      </c>
    </row>
    <row r="41" spans="2:32" ht="15.75" thickBot="1" x14ac:dyDescent="0.3">
      <c r="B41" s="3"/>
      <c r="C41" s="4"/>
      <c r="D41" s="55"/>
      <c r="E41" s="4"/>
      <c r="F41" s="4"/>
      <c r="G41" s="4"/>
      <c r="H41" s="4"/>
      <c r="I41" s="4"/>
      <c r="J41" s="4"/>
      <c r="K41" s="4"/>
      <c r="L41" s="50">
        <f t="shared" si="1"/>
        <v>0</v>
      </c>
      <c r="AC41">
        <f>_xlfn.XLOOKUP(D41, Table5[Tail numbers], Table5[bucket 1], "")</f>
        <v>0</v>
      </c>
      <c r="AD41">
        <f>_xlfn.XLOOKUP(D41, Table5[Tail numbers], Table5[bucket 2], "")</f>
        <v>0</v>
      </c>
      <c r="AE41">
        <f>_xlfn.XLOOKUP(D41, Table5[Tail numbers], Table5[bucket 3], "")</f>
        <v>0</v>
      </c>
      <c r="AF41">
        <f>_xlfn.XLOOKUP(D41, Table5[Tail numbers], Table5[bucket 4], "")</f>
        <v>0</v>
      </c>
    </row>
  </sheetData>
  <mergeCells count="1">
    <mergeCell ref="A2:A24"/>
  </mergeCells>
  <dataValidations count="1">
    <dataValidation type="list" allowBlank="1" showInputMessage="1" showErrorMessage="1" sqref="E3:E41" xr:uid="{67246510-9331-4D20-B034-5BF08D6F4DBA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D3345D-4EFA-4DA4-9448-7823A768A1D7}">
          <x14:formula1>
            <xm:f>Helibase_Master_Sheet!$G$3:$G$104</xm:f>
          </x14:formula1>
          <xm:sqref>C3:C41</xm:sqref>
        </x14:dataValidation>
        <x14:dataValidation type="list" allowBlank="1" showInputMessage="1" showErrorMessage="1" xr:uid="{C1AC0749-394B-4BA2-B53B-A2CA5FF350D2}">
          <x14:formula1>
            <xm:f>Helibase_Master_Sheet!$B$3:$B$33</xm:f>
          </x14:formula1>
          <xm:sqref>B14 B3 B24 B33</xm:sqref>
        </x14:dataValidation>
        <x14:dataValidation type="list" allowBlank="1" showInputMessage="1" showErrorMessage="1" xr:uid="{4E516D19-1471-487D-9408-7478A575D7FF}">
          <x14:formula1>
            <xm:f>Helibase_Master_Sheet!$R$3:$R$101</xm:f>
          </x14:formula1>
          <xm:sqref>D3:D41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24142-0770-4A6B-B1E8-063B81F1E3FB}">
  <sheetPr codeName="Sheet10"/>
  <dimension ref="A1:AH46"/>
  <sheetViews>
    <sheetView zoomScaleNormal="100" workbookViewId="0">
      <selection activeCell="N46" sqref="N46"/>
    </sheetView>
  </sheetViews>
  <sheetFormatPr defaultRowHeight="15" x14ac:dyDescent="0.25"/>
  <cols>
    <col min="2" max="2" width="24.28515625" customWidth="1"/>
    <col min="3" max="3" width="13.42578125" customWidth="1"/>
    <col min="4" max="4" width="9.140625" style="43"/>
    <col min="5" max="5" width="11.42578125" customWidth="1"/>
    <col min="6" max="11" width="14.140625" customWidth="1"/>
    <col min="12" max="12" width="11.42578125" style="46" bestFit="1" customWidth="1"/>
    <col min="13" max="13" width="16.140625" style="46" customWidth="1"/>
    <col min="14" max="14" width="17.7109375" customWidth="1"/>
    <col min="15" max="15" width="17.85546875" customWidth="1"/>
    <col min="16" max="16" width="10.42578125" customWidth="1"/>
    <col min="17" max="18" width="10.140625" bestFit="1" customWidth="1"/>
    <col min="34" max="34" width="14" customWidth="1"/>
  </cols>
  <sheetData>
    <row r="1" spans="1:34" ht="15.75" thickBot="1" x14ac:dyDescent="0.3">
      <c r="P1" s="14" t="s">
        <v>7</v>
      </c>
      <c r="Q1" s="14"/>
      <c r="AC1" t="s">
        <v>46</v>
      </c>
      <c r="AH1" t="s">
        <v>47</v>
      </c>
    </row>
    <row r="2" spans="1:34" x14ac:dyDescent="0.25">
      <c r="A2" s="83" t="s">
        <v>6</v>
      </c>
      <c r="B2" s="62" t="s">
        <v>2</v>
      </c>
      <c r="C2" s="63" t="s">
        <v>48</v>
      </c>
      <c r="D2" s="64" t="s">
        <v>1</v>
      </c>
      <c r="E2" s="63" t="s">
        <v>4</v>
      </c>
      <c r="F2" s="63" t="s">
        <v>49</v>
      </c>
      <c r="G2" s="63" t="s">
        <v>50</v>
      </c>
      <c r="H2" s="63" t="s">
        <v>51</v>
      </c>
      <c r="I2" s="63" t="s">
        <v>52</v>
      </c>
      <c r="J2" s="63" t="s">
        <v>53</v>
      </c>
      <c r="K2" s="65" t="s">
        <v>54</v>
      </c>
      <c r="L2" s="47" t="s">
        <v>3</v>
      </c>
      <c r="M2" s="48" t="s">
        <v>55</v>
      </c>
      <c r="P2" s="15">
        <f>$N$3/26</f>
        <v>0</v>
      </c>
      <c r="Q2" s="14" t="s">
        <v>8</v>
      </c>
    </row>
    <row r="3" spans="1:34" x14ac:dyDescent="0.25">
      <c r="A3" s="83"/>
      <c r="B3" s="12" t="s">
        <v>30</v>
      </c>
      <c r="C3" s="2" t="s">
        <v>45</v>
      </c>
      <c r="D3" s="52">
        <v>230</v>
      </c>
      <c r="E3" s="2">
        <v>240</v>
      </c>
      <c r="F3" s="2"/>
      <c r="G3" s="2"/>
      <c r="H3" s="2"/>
      <c r="I3" s="2"/>
      <c r="J3" s="2"/>
      <c r="K3" s="2"/>
      <c r="L3" s="49">
        <f>SUM(F3:K3)*E3</f>
        <v>0</v>
      </c>
      <c r="M3" s="8">
        <f>SUM(L3:L13)</f>
        <v>0</v>
      </c>
      <c r="N3" s="51">
        <f>SUM(M3:M127)</f>
        <v>0</v>
      </c>
      <c r="O3" t="s">
        <v>56</v>
      </c>
      <c r="P3" s="15">
        <f>N3/45</f>
        <v>0</v>
      </c>
      <c r="Q3" s="14" t="s">
        <v>9</v>
      </c>
      <c r="AC3">
        <f>_xlfn.XLOOKUP(D3, Table5[Tail numbers], Table5[bucket 1], "")</f>
        <v>240</v>
      </c>
      <c r="AD3">
        <f>_xlfn.XLOOKUP(D3, Table5[Tail numbers], Table5[bucket 2], "")</f>
        <v>0</v>
      </c>
      <c r="AE3">
        <f>_xlfn.XLOOKUP(D3, Table5[Tail numbers], Table5[bucket 3], "")</f>
        <v>0</v>
      </c>
      <c r="AF3">
        <f>_xlfn.XLOOKUP(D3, Table5[Tail numbers], Table5[bucket 4], "")</f>
        <v>0</v>
      </c>
    </row>
    <row r="4" spans="1:34" x14ac:dyDescent="0.25">
      <c r="A4" s="83"/>
      <c r="B4" s="1"/>
      <c r="C4" s="2" t="s">
        <v>45</v>
      </c>
      <c r="D4" s="52" t="s">
        <v>44</v>
      </c>
      <c r="E4" s="2">
        <v>660</v>
      </c>
      <c r="F4" s="2"/>
      <c r="G4" s="2"/>
      <c r="H4" s="2"/>
      <c r="I4" s="2"/>
      <c r="J4" s="2"/>
      <c r="K4" s="2"/>
      <c r="L4" s="49">
        <f t="shared" ref="L4:L41" si="0">SUM(F4:K4)*E4</f>
        <v>0</v>
      </c>
      <c r="M4"/>
      <c r="P4" s="16">
        <f>N3/660000</f>
        <v>0</v>
      </c>
      <c r="Q4" s="14" t="s">
        <v>10</v>
      </c>
      <c r="AC4">
        <f>_xlfn.XLOOKUP(D4, Table5[Tail numbers], Table5[bucket 1], "")</f>
        <v>400</v>
      </c>
      <c r="AD4">
        <f>_xlfn.XLOOKUP(D4, Table5[Tail numbers], Table5[bucket 2], "")</f>
        <v>660</v>
      </c>
      <c r="AE4">
        <f>_xlfn.XLOOKUP(D4, Table5[Tail numbers], Table5[bucket 3], "")</f>
        <v>0</v>
      </c>
      <c r="AF4">
        <f>_xlfn.XLOOKUP(D4, Table5[Tail numbers], Table5[bucket 4], "")</f>
        <v>0</v>
      </c>
    </row>
    <row r="5" spans="1:34" x14ac:dyDescent="0.25">
      <c r="A5" s="83"/>
      <c r="B5" s="1"/>
      <c r="C5" s="2" t="s">
        <v>45</v>
      </c>
      <c r="D5" s="52" t="s">
        <v>0</v>
      </c>
      <c r="E5" s="2">
        <v>1000</v>
      </c>
      <c r="F5" s="2"/>
      <c r="G5" s="2"/>
      <c r="H5" s="2"/>
      <c r="I5" s="2"/>
      <c r="J5" s="2"/>
      <c r="K5" s="2"/>
      <c r="L5" s="49">
        <f t="shared" si="0"/>
        <v>0</v>
      </c>
      <c r="M5"/>
      <c r="P5" s="15">
        <f>N3/12000</f>
        <v>0</v>
      </c>
      <c r="Q5" s="14" t="s">
        <v>11</v>
      </c>
      <c r="AC5">
        <f>_xlfn.XLOOKUP(D5, Table5[Tail numbers], Table5[bucket 1], "")</f>
        <v>600</v>
      </c>
      <c r="AD5">
        <f>_xlfn.XLOOKUP(D5, Table5[Tail numbers], Table5[bucket 2], "")</f>
        <v>1000</v>
      </c>
      <c r="AE5">
        <f>_xlfn.XLOOKUP(D5, Table5[Tail numbers], Table5[bucket 3], "")</f>
        <v>0</v>
      </c>
      <c r="AF5">
        <f>_xlfn.XLOOKUP(D5, Table5[Tail numbers], Table5[bucket 4], "")</f>
        <v>0</v>
      </c>
    </row>
    <row r="6" spans="1:34" x14ac:dyDescent="0.25">
      <c r="A6" s="83"/>
      <c r="B6" s="1"/>
      <c r="C6" s="2" t="s">
        <v>45</v>
      </c>
      <c r="D6" s="52" t="s">
        <v>5</v>
      </c>
      <c r="E6" s="2">
        <v>2000</v>
      </c>
      <c r="F6" s="2"/>
      <c r="G6" s="2"/>
      <c r="H6" s="2"/>
      <c r="I6" s="2"/>
      <c r="J6" s="2"/>
      <c r="K6" s="2"/>
      <c r="L6" s="49">
        <f t="shared" si="0"/>
        <v>0</v>
      </c>
      <c r="M6"/>
      <c r="P6" s="15">
        <f>N3/800</f>
        <v>0</v>
      </c>
      <c r="Q6" s="14" t="s">
        <v>12</v>
      </c>
      <c r="AC6">
        <f>_xlfn.XLOOKUP(D6, Table5[Tail numbers], Table5[bucket 1], "")</f>
        <v>2000</v>
      </c>
      <c r="AD6">
        <f>_xlfn.XLOOKUP(D6, Table5[Tail numbers], Table5[bucket 2], "")</f>
        <v>0</v>
      </c>
      <c r="AE6">
        <f>_xlfn.XLOOKUP(D6, Table5[Tail numbers], Table5[bucket 3], "")</f>
        <v>0</v>
      </c>
      <c r="AF6">
        <f>_xlfn.XLOOKUP(D6, Table5[Tail numbers], Table5[bucket 4], "")</f>
        <v>0</v>
      </c>
    </row>
    <row r="7" spans="1:34" x14ac:dyDescent="0.25">
      <c r="A7" s="83"/>
      <c r="B7" s="1"/>
      <c r="C7" s="59"/>
      <c r="D7" s="52"/>
      <c r="E7" s="2"/>
      <c r="F7" s="2"/>
      <c r="G7" s="2"/>
      <c r="H7" s="2"/>
      <c r="I7" s="2"/>
      <c r="J7" s="2"/>
      <c r="K7" s="2"/>
      <c r="L7" s="49">
        <f t="shared" si="0"/>
        <v>0</v>
      </c>
      <c r="M7"/>
      <c r="P7" s="15"/>
      <c r="Q7" s="14"/>
      <c r="AC7">
        <f>_xlfn.XLOOKUP(D10, Table5[Tail numbers], Table5[bucket 1], "")</f>
        <v>0</v>
      </c>
      <c r="AD7">
        <f>_xlfn.XLOOKUP(D10, Table5[Tail numbers], Table5[bucket 2], "")</f>
        <v>0</v>
      </c>
      <c r="AE7">
        <f>_xlfn.XLOOKUP(D10, Table5[Tail numbers], Table5[bucket 3], "")</f>
        <v>0</v>
      </c>
      <c r="AF7">
        <f>_xlfn.XLOOKUP(D10, Table5[Tail numbers], Table5[bucket 4], "")</f>
        <v>0</v>
      </c>
    </row>
    <row r="8" spans="1:34" x14ac:dyDescent="0.25">
      <c r="A8" s="83"/>
      <c r="B8" s="1"/>
      <c r="C8" s="59"/>
      <c r="D8" s="52"/>
      <c r="E8" s="2"/>
      <c r="F8" s="2"/>
      <c r="G8" s="2"/>
      <c r="H8" s="2"/>
      <c r="I8" s="2"/>
      <c r="J8" s="2"/>
      <c r="K8" s="2"/>
      <c r="L8" s="49">
        <f t="shared" si="0"/>
        <v>0</v>
      </c>
      <c r="M8"/>
      <c r="P8" s="15"/>
      <c r="Q8" s="14"/>
    </row>
    <row r="9" spans="1:34" x14ac:dyDescent="0.25">
      <c r="A9" s="83"/>
      <c r="B9" s="1"/>
      <c r="C9" s="59"/>
      <c r="D9" s="52"/>
      <c r="E9" s="2"/>
      <c r="F9" s="2"/>
      <c r="G9" s="2"/>
      <c r="H9" s="2"/>
      <c r="I9" s="2"/>
      <c r="J9" s="2"/>
      <c r="K9" s="2"/>
      <c r="L9" s="49">
        <f t="shared" si="0"/>
        <v>0</v>
      </c>
      <c r="M9"/>
      <c r="P9" s="15"/>
      <c r="Q9" s="14"/>
    </row>
    <row r="10" spans="1:34" x14ac:dyDescent="0.25">
      <c r="A10" s="83"/>
      <c r="B10" s="1"/>
      <c r="C10" s="59"/>
      <c r="D10" s="52"/>
      <c r="E10" s="2"/>
      <c r="F10" s="2"/>
      <c r="G10" s="2"/>
      <c r="H10" s="2"/>
      <c r="I10" s="2"/>
      <c r="J10" s="2"/>
      <c r="K10" s="2"/>
      <c r="L10" s="49">
        <f t="shared" si="0"/>
        <v>0</v>
      </c>
      <c r="M10"/>
    </row>
    <row r="11" spans="1:34" x14ac:dyDescent="0.25">
      <c r="A11" s="83"/>
      <c r="B11" s="1"/>
      <c r="C11" s="59"/>
      <c r="D11" s="52"/>
      <c r="E11" s="2"/>
      <c r="F11" s="2"/>
      <c r="G11" s="2"/>
      <c r="H11" s="2"/>
      <c r="I11" s="2"/>
      <c r="J11" s="2"/>
      <c r="K11" s="2"/>
      <c r="L11" s="49">
        <f t="shared" si="0"/>
        <v>0</v>
      </c>
      <c r="M11"/>
      <c r="T11" s="9"/>
      <c r="AC11">
        <f>_xlfn.XLOOKUP(D11, Table5[Tail numbers], Table5[bucket 1], "")</f>
        <v>0</v>
      </c>
      <c r="AD11">
        <f>_xlfn.XLOOKUP(D11, Table5[Tail numbers], Table5[bucket 2], "")</f>
        <v>0</v>
      </c>
      <c r="AE11">
        <f>_xlfn.XLOOKUP(D11, Table5[Tail numbers], Table5[bucket 3], "")</f>
        <v>0</v>
      </c>
      <c r="AF11">
        <f>_xlfn.XLOOKUP(D11, Table5[Tail numbers], Table5[bucket 4], "")</f>
        <v>0</v>
      </c>
    </row>
    <row r="12" spans="1:34" x14ac:dyDescent="0.25">
      <c r="A12" s="83"/>
      <c r="B12" s="1"/>
      <c r="C12" s="59"/>
      <c r="D12" s="52"/>
      <c r="E12" s="2"/>
      <c r="F12" s="2"/>
      <c r="G12" s="2"/>
      <c r="H12" s="2"/>
      <c r="I12" s="2"/>
      <c r="J12" s="2"/>
      <c r="K12" s="2"/>
      <c r="L12" s="49">
        <f t="shared" si="0"/>
        <v>0</v>
      </c>
      <c r="M12"/>
      <c r="AC12">
        <f>_xlfn.XLOOKUP(D12, Table5[Tail numbers], Table5[bucket 1], "")</f>
        <v>0</v>
      </c>
      <c r="AD12">
        <f>_xlfn.XLOOKUP(D12, Table5[Tail numbers], Table5[bucket 2], "")</f>
        <v>0</v>
      </c>
      <c r="AE12">
        <f>_xlfn.XLOOKUP(D12, Table5[Tail numbers], Table5[bucket 3], "")</f>
        <v>0</v>
      </c>
      <c r="AF12">
        <f>_xlfn.XLOOKUP(D12, Table5[Tail numbers], Table5[bucket 4], "")</f>
        <v>0</v>
      </c>
    </row>
    <row r="13" spans="1:34" ht="15.75" thickBot="1" x14ac:dyDescent="0.3">
      <c r="A13" s="83"/>
      <c r="B13" s="6"/>
      <c r="C13" s="59"/>
      <c r="D13" s="53"/>
      <c r="E13" s="59"/>
      <c r="F13" s="7"/>
      <c r="G13" s="7"/>
      <c r="H13" s="7"/>
      <c r="I13" s="7"/>
      <c r="J13" s="7"/>
      <c r="K13" s="7"/>
      <c r="L13" s="49">
        <f t="shared" si="0"/>
        <v>0</v>
      </c>
      <c r="M13"/>
      <c r="AC13">
        <f>_xlfn.XLOOKUP(D13, Table5[Tail numbers], Table5[bucket 1], "")</f>
        <v>0</v>
      </c>
      <c r="AD13">
        <f>_xlfn.XLOOKUP(D13, Table5[Tail numbers], Table5[bucket 2], "")</f>
        <v>0</v>
      </c>
      <c r="AE13">
        <f>_xlfn.XLOOKUP(D13, Table5[Tail numbers], Table5[bucket 3], "")</f>
        <v>0</v>
      </c>
      <c r="AF13">
        <f>_xlfn.XLOOKUP(D13, Table5[Tail numbers], Table5[bucket 4], "")</f>
        <v>0</v>
      </c>
    </row>
    <row r="14" spans="1:34" ht="15.75" thickTop="1" x14ac:dyDescent="0.25">
      <c r="A14" s="83"/>
      <c r="B14" s="13" t="s">
        <v>31</v>
      </c>
      <c r="C14" s="60" t="s">
        <v>45</v>
      </c>
      <c r="D14" s="54">
        <v>230</v>
      </c>
      <c r="E14" s="61">
        <v>240</v>
      </c>
      <c r="F14" s="5"/>
      <c r="G14" s="5"/>
      <c r="H14" s="5"/>
      <c r="I14" s="5"/>
      <c r="J14" s="5"/>
      <c r="K14" s="5"/>
      <c r="L14" s="49">
        <f t="shared" si="0"/>
        <v>0</v>
      </c>
      <c r="M14"/>
      <c r="AC14">
        <f>_xlfn.XLOOKUP(D14, Table5[Tail numbers], Table5[bucket 1], "")</f>
        <v>240</v>
      </c>
      <c r="AD14">
        <f>_xlfn.XLOOKUP(D14, Table5[Tail numbers], Table5[bucket 2], "")</f>
        <v>0</v>
      </c>
      <c r="AE14">
        <f>_xlfn.XLOOKUP(D14, Table5[Tail numbers], Table5[bucket 3], "")</f>
        <v>0</v>
      </c>
      <c r="AF14">
        <f>_xlfn.XLOOKUP(D14, Table5[Tail numbers], Table5[bucket 4], "")</f>
        <v>0</v>
      </c>
    </row>
    <row r="15" spans="1:34" x14ac:dyDescent="0.25">
      <c r="A15" s="83"/>
      <c r="B15" s="1"/>
      <c r="C15" s="2" t="s">
        <v>45</v>
      </c>
      <c r="D15" s="52" t="s">
        <v>44</v>
      </c>
      <c r="E15" s="2">
        <v>660</v>
      </c>
      <c r="F15" s="2"/>
      <c r="G15" s="2"/>
      <c r="H15" s="2"/>
      <c r="I15" s="2"/>
      <c r="J15" s="2"/>
      <c r="K15" s="2"/>
      <c r="L15" s="49">
        <f t="shared" si="0"/>
        <v>0</v>
      </c>
      <c r="M15" s="8">
        <f>SUM(L14:L23)</f>
        <v>0</v>
      </c>
      <c r="P15">
        <f>SUM(F3:K82)</f>
        <v>0</v>
      </c>
      <c r="AC15">
        <f>_xlfn.XLOOKUP(D15, Table5[Tail numbers], Table5[bucket 1], "")</f>
        <v>400</v>
      </c>
      <c r="AD15">
        <f>_xlfn.XLOOKUP(D15, Table5[Tail numbers], Table5[bucket 2], "")</f>
        <v>660</v>
      </c>
      <c r="AE15">
        <f>_xlfn.XLOOKUP(D15, Table5[Tail numbers], Table5[bucket 3], "")</f>
        <v>0</v>
      </c>
      <c r="AF15">
        <f>_xlfn.XLOOKUP(D15, Table5[Tail numbers], Table5[bucket 4], "")</f>
        <v>0</v>
      </c>
    </row>
    <row r="16" spans="1:34" x14ac:dyDescent="0.25">
      <c r="A16" s="83"/>
      <c r="B16" s="1"/>
      <c r="C16" s="2" t="s">
        <v>45</v>
      </c>
      <c r="D16" s="52" t="s">
        <v>0</v>
      </c>
      <c r="E16" s="2">
        <v>1000</v>
      </c>
      <c r="F16" s="2"/>
      <c r="G16" s="2"/>
      <c r="H16" s="2"/>
      <c r="I16" s="2"/>
      <c r="J16" s="2"/>
      <c r="K16" s="2"/>
      <c r="L16" s="49">
        <f t="shared" si="0"/>
        <v>0</v>
      </c>
      <c r="M16"/>
      <c r="AC16">
        <f>_xlfn.XLOOKUP(D16, Table5[Tail numbers], Table5[bucket 1], "")</f>
        <v>600</v>
      </c>
      <c r="AD16">
        <f>_xlfn.XLOOKUP(D16, Table5[Tail numbers], Table5[bucket 2], "")</f>
        <v>1000</v>
      </c>
      <c r="AE16">
        <f>_xlfn.XLOOKUP(D16, Table5[Tail numbers], Table5[bucket 3], "")</f>
        <v>0</v>
      </c>
      <c r="AF16">
        <f>_xlfn.XLOOKUP(D16, Table5[Tail numbers], Table5[bucket 4], "")</f>
        <v>0</v>
      </c>
    </row>
    <row r="17" spans="1:32" x14ac:dyDescent="0.25">
      <c r="A17" s="83"/>
      <c r="B17" s="1"/>
      <c r="C17" s="2" t="s">
        <v>45</v>
      </c>
      <c r="D17" s="52" t="s">
        <v>5</v>
      </c>
      <c r="E17" s="2">
        <v>2000</v>
      </c>
      <c r="F17" s="2"/>
      <c r="G17" s="2"/>
      <c r="H17" s="2"/>
      <c r="I17" s="2"/>
      <c r="J17" s="2"/>
      <c r="K17" s="2"/>
      <c r="L17" s="49">
        <f t="shared" si="0"/>
        <v>0</v>
      </c>
      <c r="M17"/>
      <c r="AC17">
        <f>_xlfn.XLOOKUP(D17, Table5[Tail numbers], Table5[bucket 1], "")</f>
        <v>2000</v>
      </c>
      <c r="AD17">
        <f>_xlfn.XLOOKUP(D17, Table5[Tail numbers], Table5[bucket 2], "")</f>
        <v>0</v>
      </c>
      <c r="AE17">
        <f>_xlfn.XLOOKUP(D17, Table5[Tail numbers], Table5[bucket 3], "")</f>
        <v>0</v>
      </c>
      <c r="AF17">
        <f>_xlfn.XLOOKUP(D17, Table5[Tail numbers], Table5[bucket 4], "")</f>
        <v>0</v>
      </c>
    </row>
    <row r="18" spans="1:32" x14ac:dyDescent="0.25">
      <c r="A18" s="83"/>
      <c r="B18" s="1"/>
      <c r="C18" s="59"/>
      <c r="D18" s="52"/>
      <c r="E18" s="2"/>
      <c r="F18" s="2"/>
      <c r="G18" s="2"/>
      <c r="H18" s="2"/>
      <c r="I18" s="2"/>
      <c r="J18" s="2"/>
      <c r="K18" s="2"/>
      <c r="L18" s="49">
        <f t="shared" si="0"/>
        <v>0</v>
      </c>
      <c r="M18"/>
      <c r="AC18">
        <f>_xlfn.XLOOKUP(D18, Table5[Tail numbers], Table5[bucket 1], "")</f>
        <v>0</v>
      </c>
      <c r="AD18">
        <f>_xlfn.XLOOKUP(D18, Table5[Tail numbers], Table5[bucket 2], "")</f>
        <v>0</v>
      </c>
      <c r="AE18">
        <f>_xlfn.XLOOKUP(D18, Table5[Tail numbers], Table5[bucket 3], "")</f>
        <v>0</v>
      </c>
      <c r="AF18">
        <f>_xlfn.XLOOKUP(D18, Table5[Tail numbers], Table5[bucket 4], "")</f>
        <v>0</v>
      </c>
    </row>
    <row r="19" spans="1:32" x14ac:dyDescent="0.25">
      <c r="A19" s="83"/>
      <c r="B19" s="1"/>
      <c r="C19" s="59"/>
      <c r="D19" s="52"/>
      <c r="E19" s="2"/>
      <c r="F19" s="2"/>
      <c r="G19" s="2"/>
      <c r="H19" s="2"/>
      <c r="I19" s="2"/>
      <c r="J19" s="2"/>
      <c r="K19" s="2"/>
      <c r="L19" s="49">
        <f t="shared" si="0"/>
        <v>0</v>
      </c>
      <c r="M19"/>
      <c r="AC19">
        <f>_xlfn.XLOOKUP(D19, Table5[Tail numbers], Table5[bucket 1], "")</f>
        <v>0</v>
      </c>
      <c r="AD19">
        <f>_xlfn.XLOOKUP(D19, Table5[Tail numbers], Table5[bucket 2], "")</f>
        <v>0</v>
      </c>
      <c r="AE19">
        <f>_xlfn.XLOOKUP(D19, Table5[Tail numbers], Table5[bucket 3], "")</f>
        <v>0</v>
      </c>
      <c r="AF19">
        <f>_xlfn.XLOOKUP(D19, Table5[Tail numbers], Table5[bucket 4], "")</f>
        <v>0</v>
      </c>
    </row>
    <row r="20" spans="1:32" ht="18" x14ac:dyDescent="0.25">
      <c r="A20" s="83"/>
      <c r="B20" s="1"/>
      <c r="C20" s="59"/>
      <c r="D20" s="52"/>
      <c r="E20" s="2"/>
      <c r="F20" s="2"/>
      <c r="G20" s="2"/>
      <c r="H20" s="2"/>
      <c r="I20" s="2"/>
      <c r="J20" s="2"/>
      <c r="K20" s="2"/>
      <c r="L20" s="49">
        <f t="shared" si="0"/>
        <v>0</v>
      </c>
      <c r="M20"/>
      <c r="W20" s="10">
        <v>660000</v>
      </c>
      <c r="AC20">
        <f>_xlfn.XLOOKUP(D20, Table5[Tail numbers], Table5[bucket 1], "")</f>
        <v>0</v>
      </c>
      <c r="AD20">
        <f>_xlfn.XLOOKUP(D20, Table5[Tail numbers], Table5[bucket 2], "")</f>
        <v>0</v>
      </c>
      <c r="AE20">
        <f>_xlfn.XLOOKUP(D20, Table5[Tail numbers], Table5[bucket 3], "")</f>
        <v>0</v>
      </c>
      <c r="AF20">
        <f>_xlfn.XLOOKUP(D20, Table5[Tail numbers], Table5[bucket 4], "")</f>
        <v>0</v>
      </c>
    </row>
    <row r="21" spans="1:32" x14ac:dyDescent="0.25">
      <c r="A21" s="83"/>
      <c r="B21" s="1"/>
      <c r="C21" s="59"/>
      <c r="D21" s="52"/>
      <c r="E21" s="2"/>
      <c r="F21" s="2"/>
      <c r="G21" s="2"/>
      <c r="H21" s="2"/>
      <c r="I21" s="2"/>
      <c r="J21" s="2"/>
      <c r="K21" s="2"/>
      <c r="L21" s="49">
        <f t="shared" si="0"/>
        <v>0</v>
      </c>
      <c r="M21"/>
      <c r="AC21">
        <f>_xlfn.XLOOKUP(D21, Table5[Tail numbers], Table5[bucket 1], "")</f>
        <v>0</v>
      </c>
      <c r="AD21">
        <f>_xlfn.XLOOKUP(D21, Table5[Tail numbers], Table5[bucket 2], "")</f>
        <v>0</v>
      </c>
      <c r="AE21">
        <f>_xlfn.XLOOKUP(D21, Table5[Tail numbers], Table5[bucket 3], "")</f>
        <v>0</v>
      </c>
      <c r="AF21">
        <f>_xlfn.XLOOKUP(D21, Table5[Tail numbers], Table5[bucket 4], "")</f>
        <v>0</v>
      </c>
    </row>
    <row r="22" spans="1:32" x14ac:dyDescent="0.25">
      <c r="A22" s="83"/>
      <c r="B22" s="1"/>
      <c r="C22" s="59"/>
      <c r="D22" s="52"/>
      <c r="E22" s="2"/>
      <c r="F22" s="2"/>
      <c r="G22" s="2"/>
      <c r="H22" s="2"/>
      <c r="I22" s="2"/>
      <c r="J22" s="2"/>
      <c r="K22" s="2"/>
      <c r="L22" s="49">
        <f t="shared" si="0"/>
        <v>0</v>
      </c>
      <c r="M22"/>
      <c r="AC22">
        <f>_xlfn.XLOOKUP(D22, Table5[Tail numbers], Table5[bucket 1], "")</f>
        <v>0</v>
      </c>
      <c r="AD22">
        <f>_xlfn.XLOOKUP(D22, Table5[Tail numbers], Table5[bucket 2], "")</f>
        <v>0</v>
      </c>
      <c r="AE22">
        <f>_xlfn.XLOOKUP(D22, Table5[Tail numbers], Table5[bucket 3], "")</f>
        <v>0</v>
      </c>
      <c r="AF22">
        <f>_xlfn.XLOOKUP(D22, Table5[Tail numbers], Table5[bucket 4], "")</f>
        <v>0</v>
      </c>
    </row>
    <row r="23" spans="1:32" ht="15.75" thickBot="1" x14ac:dyDescent="0.3">
      <c r="A23" s="83"/>
      <c r="B23" s="3"/>
      <c r="C23" s="59"/>
      <c r="D23" s="55"/>
      <c r="E23" s="59"/>
      <c r="F23" s="4"/>
      <c r="G23" s="4"/>
      <c r="H23" s="4"/>
      <c r="I23" s="4"/>
      <c r="J23" s="4"/>
      <c r="K23" s="4"/>
      <c r="L23" s="49">
        <f t="shared" si="0"/>
        <v>0</v>
      </c>
      <c r="M23"/>
      <c r="AC23">
        <f>_xlfn.XLOOKUP(D23, Table5[Tail numbers], Table5[bucket 1], "")</f>
        <v>0</v>
      </c>
      <c r="AD23">
        <f>_xlfn.XLOOKUP(D23, Table5[Tail numbers], Table5[bucket 2], "")</f>
        <v>0</v>
      </c>
      <c r="AE23">
        <f>_xlfn.XLOOKUP(D23, Table5[Tail numbers], Table5[bucket 3], "")</f>
        <v>0</v>
      </c>
      <c r="AF23">
        <f>_xlfn.XLOOKUP(D23, Table5[Tail numbers], Table5[bucket 4], "")</f>
        <v>0</v>
      </c>
    </row>
    <row r="24" spans="1:32" x14ac:dyDescent="0.25">
      <c r="A24" s="83"/>
      <c r="B24" s="13" t="s">
        <v>32</v>
      </c>
      <c r="C24" s="61" t="s">
        <v>29</v>
      </c>
      <c r="D24" s="54">
        <v>230</v>
      </c>
      <c r="E24" s="61">
        <v>240</v>
      </c>
      <c r="F24" s="5"/>
      <c r="G24" s="5"/>
      <c r="H24" s="5"/>
      <c r="I24" s="5"/>
      <c r="J24" s="5"/>
      <c r="K24" s="5"/>
      <c r="L24" s="49">
        <f t="shared" si="0"/>
        <v>0</v>
      </c>
      <c r="M24" s="8">
        <f>SUM(L24:L32)</f>
        <v>0</v>
      </c>
      <c r="Q24" s="11"/>
      <c r="AC24">
        <f>_xlfn.XLOOKUP(D24, Table5[Tail numbers], Table5[bucket 1], "")</f>
        <v>240</v>
      </c>
      <c r="AD24">
        <f>_xlfn.XLOOKUP(D24, Table5[Tail numbers], Table5[bucket 2], "")</f>
        <v>0</v>
      </c>
      <c r="AE24">
        <f>_xlfn.XLOOKUP(D24, Table5[Tail numbers], Table5[bucket 3], "")</f>
        <v>0</v>
      </c>
      <c r="AF24">
        <f>_xlfn.XLOOKUP(D24, Table5[Tail numbers], Table5[bucket 4], "")</f>
        <v>0</v>
      </c>
    </row>
    <row r="25" spans="1:32" x14ac:dyDescent="0.25">
      <c r="B25" s="1"/>
      <c r="C25" s="2" t="s">
        <v>29</v>
      </c>
      <c r="D25" s="52" t="s">
        <v>44</v>
      </c>
      <c r="E25" s="2">
        <v>660</v>
      </c>
      <c r="F25" s="2"/>
      <c r="G25" s="2"/>
      <c r="H25" s="2"/>
      <c r="I25" s="2"/>
      <c r="J25" s="2"/>
      <c r="K25" s="2"/>
      <c r="L25" s="49">
        <f t="shared" si="0"/>
        <v>0</v>
      </c>
      <c r="M25"/>
      <c r="AC25">
        <f>_xlfn.XLOOKUP(D25, Table5[Tail numbers], Table5[bucket 1], "")</f>
        <v>400</v>
      </c>
      <c r="AD25">
        <f>_xlfn.XLOOKUP(D25, Table5[Tail numbers], Table5[bucket 2], "")</f>
        <v>660</v>
      </c>
      <c r="AE25">
        <f>_xlfn.XLOOKUP(D25, Table5[Tail numbers], Table5[bucket 3], "")</f>
        <v>0</v>
      </c>
      <c r="AF25">
        <f>_xlfn.XLOOKUP(D25, Table5[Tail numbers], Table5[bucket 4], "")</f>
        <v>0</v>
      </c>
    </row>
    <row r="26" spans="1:32" x14ac:dyDescent="0.25">
      <c r="B26" s="1"/>
      <c r="C26" s="2" t="s">
        <v>29</v>
      </c>
      <c r="D26" s="52" t="s">
        <v>0</v>
      </c>
      <c r="E26" s="2">
        <v>1000</v>
      </c>
      <c r="F26" s="2"/>
      <c r="G26" s="2"/>
      <c r="H26" s="2"/>
      <c r="I26" s="2"/>
      <c r="J26" s="2"/>
      <c r="K26" s="2"/>
      <c r="L26" s="49">
        <f t="shared" si="0"/>
        <v>0</v>
      </c>
      <c r="M26"/>
      <c r="AC26">
        <f>_xlfn.XLOOKUP(D26, Table5[Tail numbers], Table5[bucket 1], "")</f>
        <v>600</v>
      </c>
      <c r="AD26">
        <f>_xlfn.XLOOKUP(D26, Table5[Tail numbers], Table5[bucket 2], "")</f>
        <v>1000</v>
      </c>
      <c r="AE26">
        <f>_xlfn.XLOOKUP(D26, Table5[Tail numbers], Table5[bucket 3], "")</f>
        <v>0</v>
      </c>
      <c r="AF26">
        <f>_xlfn.XLOOKUP(D26, Table5[Tail numbers], Table5[bucket 4], "")</f>
        <v>0</v>
      </c>
    </row>
    <row r="27" spans="1:32" x14ac:dyDescent="0.25">
      <c r="B27" s="1"/>
      <c r="C27" s="2" t="s">
        <v>29</v>
      </c>
      <c r="D27" s="52" t="s">
        <v>5</v>
      </c>
      <c r="E27" s="2">
        <v>2000</v>
      </c>
      <c r="F27" s="2"/>
      <c r="G27" s="2"/>
      <c r="H27" s="2"/>
      <c r="I27" s="2"/>
      <c r="J27" s="2"/>
      <c r="K27" s="2"/>
      <c r="L27" s="49">
        <f t="shared" si="0"/>
        <v>0</v>
      </c>
      <c r="M27"/>
      <c r="AC27">
        <f>_xlfn.XLOOKUP(D27, Table5[Tail numbers], Table5[bucket 1], "")</f>
        <v>2000</v>
      </c>
      <c r="AD27">
        <f>_xlfn.XLOOKUP(D27, Table5[Tail numbers], Table5[bucket 2], "")</f>
        <v>0</v>
      </c>
      <c r="AE27">
        <f>_xlfn.XLOOKUP(D27, Table5[Tail numbers], Table5[bucket 3], "")</f>
        <v>0</v>
      </c>
      <c r="AF27">
        <f>_xlfn.XLOOKUP(D27, Table5[Tail numbers], Table5[bucket 4], "")</f>
        <v>0</v>
      </c>
    </row>
    <row r="28" spans="1:32" x14ac:dyDescent="0.25">
      <c r="B28" s="1"/>
      <c r="C28" s="81"/>
      <c r="D28" s="82"/>
      <c r="E28" s="81"/>
      <c r="F28" s="81"/>
      <c r="G28" s="2"/>
      <c r="H28" s="2"/>
      <c r="I28" s="2"/>
      <c r="J28" s="2"/>
      <c r="K28" s="2"/>
      <c r="L28" s="49">
        <f t="shared" si="0"/>
        <v>0</v>
      </c>
      <c r="M28"/>
      <c r="AC28">
        <f>_xlfn.XLOOKUP(D28, Table5[Tail numbers], Table5[bucket 1], "")</f>
        <v>0</v>
      </c>
      <c r="AD28">
        <f>_xlfn.XLOOKUP(D28, Table5[Tail numbers], Table5[bucket 2], "")</f>
        <v>0</v>
      </c>
      <c r="AE28">
        <f>_xlfn.XLOOKUP(D28, Table5[Tail numbers], Table5[bucket 3], "")</f>
        <v>0</v>
      </c>
      <c r="AF28">
        <f>_xlfn.XLOOKUP(D28, Table5[Tail numbers], Table5[bucket 4], "")</f>
        <v>0</v>
      </c>
    </row>
    <row r="29" spans="1:32" x14ac:dyDescent="0.25">
      <c r="B29" s="1"/>
      <c r="C29" s="2"/>
      <c r="D29" s="52"/>
      <c r="E29" s="2"/>
      <c r="F29" s="2"/>
      <c r="G29" s="2"/>
      <c r="H29" s="2"/>
      <c r="I29" s="2"/>
      <c r="J29" s="2"/>
      <c r="K29" s="2"/>
      <c r="L29" s="49">
        <f t="shared" si="0"/>
        <v>0</v>
      </c>
      <c r="M29"/>
      <c r="AC29">
        <f>_xlfn.XLOOKUP(D29, Table5[Tail numbers], Table5[bucket 1], "")</f>
        <v>0</v>
      </c>
      <c r="AD29">
        <f>_xlfn.XLOOKUP(D29, Table5[Tail numbers], Table5[bucket 2], "")</f>
        <v>0</v>
      </c>
      <c r="AE29">
        <f>_xlfn.XLOOKUP(D29, Table5[Tail numbers], Table5[bucket 3], "")</f>
        <v>0</v>
      </c>
      <c r="AF29">
        <f>_xlfn.XLOOKUP(D29, Table5[Tail numbers], Table5[bucket 4], "")</f>
        <v>0</v>
      </c>
    </row>
    <row r="30" spans="1:32" x14ac:dyDescent="0.25">
      <c r="B30" s="1"/>
      <c r="C30" s="2"/>
      <c r="D30" s="52"/>
      <c r="E30" s="2"/>
      <c r="F30" s="2"/>
      <c r="G30" s="2"/>
      <c r="H30" s="2"/>
      <c r="I30" s="2"/>
      <c r="J30" s="2"/>
      <c r="K30" s="2"/>
      <c r="L30" s="49">
        <f t="shared" si="0"/>
        <v>0</v>
      </c>
      <c r="M30"/>
      <c r="AC30">
        <f>_xlfn.XLOOKUP(D30, Table5[Tail numbers], Table5[bucket 1], "")</f>
        <v>0</v>
      </c>
      <c r="AD30">
        <f>_xlfn.XLOOKUP(D30, Table5[Tail numbers], Table5[bucket 2], "")</f>
        <v>0</v>
      </c>
      <c r="AE30">
        <f>_xlfn.XLOOKUP(D30, Table5[Tail numbers], Table5[bucket 3], "")</f>
        <v>0</v>
      </c>
      <c r="AF30">
        <f>_xlfn.XLOOKUP(D30, Table5[Tail numbers], Table5[bucket 4], "")</f>
        <v>0</v>
      </c>
    </row>
    <row r="31" spans="1:32" x14ac:dyDescent="0.25">
      <c r="B31" s="1"/>
      <c r="C31" s="2"/>
      <c r="D31" s="52"/>
      <c r="E31" s="2"/>
      <c r="F31" s="2"/>
      <c r="G31" s="2"/>
      <c r="H31" s="2"/>
      <c r="I31" s="2"/>
      <c r="J31" s="2"/>
      <c r="K31" s="2"/>
      <c r="L31" s="49">
        <f t="shared" si="0"/>
        <v>0</v>
      </c>
      <c r="M31"/>
      <c r="AC31">
        <f>_xlfn.XLOOKUP(D31, Table5[Tail numbers], Table5[bucket 1], "")</f>
        <v>0</v>
      </c>
      <c r="AD31">
        <f>_xlfn.XLOOKUP(D31, Table5[Tail numbers], Table5[bucket 2], "")</f>
        <v>0</v>
      </c>
      <c r="AE31">
        <f>_xlfn.XLOOKUP(D31, Table5[Tail numbers], Table5[bucket 3], "")</f>
        <v>0</v>
      </c>
      <c r="AF31">
        <f>_xlfn.XLOOKUP(D31, Table5[Tail numbers], Table5[bucket 4], "")</f>
        <v>0</v>
      </c>
    </row>
    <row r="32" spans="1:32" ht="15.75" thickBot="1" x14ac:dyDescent="0.3">
      <c r="B32" s="1"/>
      <c r="C32" s="2"/>
      <c r="D32" s="79"/>
      <c r="E32" s="59"/>
      <c r="F32" s="59"/>
      <c r="G32" s="59"/>
      <c r="H32" s="59"/>
      <c r="I32" s="59"/>
      <c r="J32" s="59"/>
      <c r="K32" s="59"/>
      <c r="L32" s="49">
        <f t="shared" si="0"/>
        <v>0</v>
      </c>
      <c r="M32"/>
      <c r="AC32">
        <f>_xlfn.XLOOKUP(D32, Table5[Tail numbers], Table5[bucket 1], "")</f>
        <v>0</v>
      </c>
      <c r="AD32">
        <f>_xlfn.XLOOKUP(D32, Table5[Tail numbers], Table5[bucket 2], "")</f>
        <v>0</v>
      </c>
      <c r="AE32">
        <f>_xlfn.XLOOKUP(D32, Table5[Tail numbers], Table5[bucket 3], "")</f>
        <v>0</v>
      </c>
      <c r="AF32">
        <f>_xlfn.XLOOKUP(D32, Table5[Tail numbers], Table5[bucket 4], "")</f>
        <v>0</v>
      </c>
    </row>
    <row r="33" spans="2:32" x14ac:dyDescent="0.25">
      <c r="B33" s="13" t="s">
        <v>62</v>
      </c>
      <c r="C33" s="61" t="s">
        <v>65</v>
      </c>
      <c r="D33" s="80" t="s">
        <v>44</v>
      </c>
      <c r="E33" s="61">
        <v>660</v>
      </c>
      <c r="F33" s="61"/>
      <c r="G33" s="61"/>
      <c r="H33" s="61"/>
      <c r="I33" s="61"/>
      <c r="J33" s="61"/>
      <c r="K33" s="61"/>
      <c r="L33" s="49">
        <f t="shared" si="0"/>
        <v>0</v>
      </c>
      <c r="M33" s="8">
        <f>SUM(L33:L41)</f>
        <v>0</v>
      </c>
      <c r="AC33">
        <f>_xlfn.XLOOKUP(D33, Table5[Tail numbers], Table5[bucket 1], "")</f>
        <v>400</v>
      </c>
      <c r="AD33">
        <f>_xlfn.XLOOKUP(D33, Table5[Tail numbers], Table5[bucket 2], "")</f>
        <v>660</v>
      </c>
      <c r="AE33">
        <f>_xlfn.XLOOKUP(D33, Table5[Tail numbers], Table5[bucket 3], "")</f>
        <v>0</v>
      </c>
      <c r="AF33">
        <f>_xlfn.XLOOKUP(D33, Table5[Tail numbers], Table5[bucket 4], "")</f>
        <v>0</v>
      </c>
    </row>
    <row r="34" spans="2:32" x14ac:dyDescent="0.25">
      <c r="B34" s="1"/>
      <c r="C34" s="2" t="s">
        <v>63</v>
      </c>
      <c r="D34" s="52" t="s">
        <v>44</v>
      </c>
      <c r="E34" s="2">
        <v>660</v>
      </c>
      <c r="F34" s="5"/>
      <c r="G34" s="2"/>
      <c r="H34" s="2"/>
      <c r="I34" s="2"/>
      <c r="J34" s="2"/>
      <c r="K34" s="2"/>
      <c r="L34" s="49">
        <f>SUM(F34:K34)*E34</f>
        <v>0</v>
      </c>
      <c r="AC34">
        <f>_xlfn.XLOOKUP(D34, Table5[Tail numbers], Table5[bucket 1], "")</f>
        <v>400</v>
      </c>
      <c r="AD34">
        <f>_xlfn.XLOOKUP(D34, Table5[Tail numbers], Table5[bucket 2], "")</f>
        <v>660</v>
      </c>
      <c r="AE34">
        <f>_xlfn.XLOOKUP(D34, Table5[Tail numbers], Table5[bucket 3], "")</f>
        <v>0</v>
      </c>
      <c r="AF34">
        <f>_xlfn.XLOOKUP(D34, Table5[Tail numbers], Table5[bucket 4], "")</f>
        <v>0</v>
      </c>
    </row>
    <row r="35" spans="2:32" x14ac:dyDescent="0.25">
      <c r="B35" s="1"/>
      <c r="C35" s="2"/>
      <c r="D35" s="52" t="s">
        <v>44</v>
      </c>
      <c r="E35" s="2">
        <v>660</v>
      </c>
      <c r="F35" s="2"/>
      <c r="G35" s="2"/>
      <c r="H35" s="2"/>
      <c r="I35" s="2"/>
      <c r="J35" s="2"/>
      <c r="K35" s="2"/>
      <c r="L35" s="49">
        <f t="shared" si="0"/>
        <v>0</v>
      </c>
      <c r="P35">
        <f>SUM(F33:I38)</f>
        <v>0</v>
      </c>
      <c r="AC35">
        <f>_xlfn.XLOOKUP(D35, Table5[Tail numbers], Table5[bucket 1], "")</f>
        <v>400</v>
      </c>
      <c r="AD35">
        <f>_xlfn.XLOOKUP(D35, Table5[Tail numbers], Table5[bucket 2], "")</f>
        <v>660</v>
      </c>
      <c r="AE35">
        <f>_xlfn.XLOOKUP(D35, Table5[Tail numbers], Table5[bucket 3], "")</f>
        <v>0</v>
      </c>
      <c r="AF35">
        <f>_xlfn.XLOOKUP(D35, Table5[Tail numbers], Table5[bucket 4], "")</f>
        <v>0</v>
      </c>
    </row>
    <row r="36" spans="2:32" x14ac:dyDescent="0.25">
      <c r="B36" s="1"/>
      <c r="C36" s="2"/>
      <c r="D36" s="52"/>
      <c r="E36" s="2"/>
      <c r="F36" s="2"/>
      <c r="G36" s="2"/>
      <c r="H36" s="2"/>
      <c r="I36" s="2"/>
      <c r="J36" s="2"/>
      <c r="K36" s="2"/>
      <c r="L36" s="49">
        <f t="shared" si="0"/>
        <v>0</v>
      </c>
      <c r="AC36">
        <f>_xlfn.XLOOKUP(D36, Table5[Tail numbers], Table5[bucket 1], "")</f>
        <v>0</v>
      </c>
      <c r="AD36">
        <f>_xlfn.XLOOKUP(D36, Table5[Tail numbers], Table5[bucket 2], "")</f>
        <v>0</v>
      </c>
      <c r="AE36">
        <f>_xlfn.XLOOKUP(D36, Table5[Tail numbers], Table5[bucket 3], "")</f>
        <v>0</v>
      </c>
      <c r="AF36">
        <f>_xlfn.XLOOKUP(D36, Table5[Tail numbers], Table5[bucket 4], "")</f>
        <v>0</v>
      </c>
    </row>
    <row r="37" spans="2:32" x14ac:dyDescent="0.25">
      <c r="B37" s="1"/>
      <c r="C37" s="2"/>
      <c r="D37" s="52"/>
      <c r="E37" s="2"/>
      <c r="F37" s="2"/>
      <c r="G37" s="2"/>
      <c r="H37" s="2"/>
      <c r="I37" s="2"/>
      <c r="J37" s="2"/>
      <c r="K37" s="2"/>
      <c r="L37" s="49">
        <f t="shared" si="0"/>
        <v>0</v>
      </c>
      <c r="AC37">
        <f>_xlfn.XLOOKUP(D37, Table5[Tail numbers], Table5[bucket 1], "")</f>
        <v>0</v>
      </c>
      <c r="AD37">
        <f>_xlfn.XLOOKUP(D37, Table5[Tail numbers], Table5[bucket 2], "")</f>
        <v>0</v>
      </c>
      <c r="AE37">
        <f>_xlfn.XLOOKUP(D37, Table5[Tail numbers], Table5[bucket 3], "")</f>
        <v>0</v>
      </c>
      <c r="AF37">
        <f>_xlfn.XLOOKUP(D37, Table5[Tail numbers], Table5[bucket 4], "")</f>
        <v>0</v>
      </c>
    </row>
    <row r="38" spans="2:32" x14ac:dyDescent="0.25">
      <c r="B38" s="1"/>
      <c r="C38" s="2"/>
      <c r="D38" s="52"/>
      <c r="E38" s="2"/>
      <c r="F38" s="2"/>
      <c r="G38" s="2"/>
      <c r="H38" s="2"/>
      <c r="I38" s="2"/>
      <c r="J38" s="2"/>
      <c r="K38" s="2"/>
      <c r="L38" s="49">
        <f t="shared" si="0"/>
        <v>0</v>
      </c>
      <c r="AC38">
        <f>_xlfn.XLOOKUP(D38, Table5[Tail numbers], Table5[bucket 1], "")</f>
        <v>0</v>
      </c>
      <c r="AD38">
        <f>_xlfn.XLOOKUP(D38, Table5[Tail numbers], Table5[bucket 2], "")</f>
        <v>0</v>
      </c>
      <c r="AE38">
        <f>_xlfn.XLOOKUP(D38, Table5[Tail numbers], Table5[bucket 3], "")</f>
        <v>0</v>
      </c>
      <c r="AF38">
        <f>_xlfn.XLOOKUP(D38, Table5[Tail numbers], Table5[bucket 4], "")</f>
        <v>0</v>
      </c>
    </row>
    <row r="39" spans="2:32" x14ac:dyDescent="0.25">
      <c r="B39" s="1"/>
      <c r="C39" s="2"/>
      <c r="D39" s="52"/>
      <c r="E39" s="2"/>
      <c r="F39" s="2"/>
      <c r="G39" s="2"/>
      <c r="H39" s="2"/>
      <c r="I39" s="2"/>
      <c r="J39" s="2"/>
      <c r="K39" s="2"/>
      <c r="L39" s="49">
        <f t="shared" si="0"/>
        <v>0</v>
      </c>
      <c r="AC39">
        <f>_xlfn.XLOOKUP(D39, Table5[Tail numbers], Table5[bucket 1], "")</f>
        <v>0</v>
      </c>
      <c r="AD39">
        <f>_xlfn.XLOOKUP(D39, Table5[Tail numbers], Table5[bucket 2], "")</f>
        <v>0</v>
      </c>
      <c r="AE39">
        <f>_xlfn.XLOOKUP(D39, Table5[Tail numbers], Table5[bucket 3], "")</f>
        <v>0</v>
      </c>
      <c r="AF39">
        <f>_xlfn.XLOOKUP(D39, Table5[Tail numbers], Table5[bucket 4], "")</f>
        <v>0</v>
      </c>
    </row>
    <row r="40" spans="2:32" x14ac:dyDescent="0.25">
      <c r="B40" s="1"/>
      <c r="C40" s="2"/>
      <c r="D40" s="52"/>
      <c r="E40" s="2"/>
      <c r="F40" s="2"/>
      <c r="G40" s="2"/>
      <c r="H40" s="2"/>
      <c r="I40" s="2"/>
      <c r="J40" s="2"/>
      <c r="K40" s="2"/>
      <c r="L40" s="49">
        <f t="shared" si="0"/>
        <v>0</v>
      </c>
      <c r="AC40">
        <f>_xlfn.XLOOKUP(D40, Table5[Tail numbers], Table5[bucket 1], "")</f>
        <v>0</v>
      </c>
      <c r="AD40">
        <f>_xlfn.XLOOKUP(D40, Table5[Tail numbers], Table5[bucket 2], "")</f>
        <v>0</v>
      </c>
      <c r="AE40">
        <f>_xlfn.XLOOKUP(D40, Table5[Tail numbers], Table5[bucket 3], "")</f>
        <v>0</v>
      </c>
      <c r="AF40">
        <f>_xlfn.XLOOKUP(D40, Table5[Tail numbers], Table5[bucket 4], "")</f>
        <v>0</v>
      </c>
    </row>
    <row r="41" spans="2:32" ht="15.75" thickBot="1" x14ac:dyDescent="0.3">
      <c r="B41" s="3"/>
      <c r="C41" s="4"/>
      <c r="D41" s="55"/>
      <c r="E41" s="4"/>
      <c r="F41" s="4"/>
      <c r="G41" s="4"/>
      <c r="H41" s="4"/>
      <c r="I41" s="4"/>
      <c r="J41" s="4"/>
      <c r="K41" s="4"/>
      <c r="L41" s="50">
        <f t="shared" si="0"/>
        <v>0</v>
      </c>
      <c r="AC41">
        <f>_xlfn.XLOOKUP(D41, Table5[Tail numbers], Table5[bucket 1], "")</f>
        <v>0</v>
      </c>
      <c r="AD41">
        <f>_xlfn.XLOOKUP(D41, Table5[Tail numbers], Table5[bucket 2], "")</f>
        <v>0</v>
      </c>
      <c r="AE41">
        <f>_xlfn.XLOOKUP(D41, Table5[Tail numbers], Table5[bucket 3], "")</f>
        <v>0</v>
      </c>
      <c r="AF41">
        <f>_xlfn.XLOOKUP(D41, Table5[Tail numbers], Table5[bucket 4], "")</f>
        <v>0</v>
      </c>
    </row>
    <row r="46" spans="2:32" x14ac:dyDescent="0.25">
      <c r="N46">
        <f>SUMIF(E3:E100, Z3, K3:K100)</f>
        <v>0</v>
      </c>
    </row>
  </sheetData>
  <mergeCells count="1">
    <mergeCell ref="A2:A24"/>
  </mergeCells>
  <dataValidations count="1">
    <dataValidation type="list" allowBlank="1" showInputMessage="1" showErrorMessage="1" sqref="E3:E41" xr:uid="{B2F177FE-8DE5-4CAE-8E18-26D71E09223D}">
      <formula1>INDIRECT("AC" &amp; ROW() &amp; ":AF" &amp; ROW())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0E8DF7B-6B30-4D30-909E-73AB0A9C54DB}">
          <x14:formula1>
            <xm:f>Helibase_Master_Sheet!$R$3:$R$101</xm:f>
          </x14:formula1>
          <xm:sqref>D3:D41</xm:sqref>
        </x14:dataValidation>
        <x14:dataValidation type="list" allowBlank="1" showInputMessage="1" showErrorMessage="1" xr:uid="{5D49B428-FF47-42A2-96E2-2E3DF161189A}">
          <x14:formula1>
            <xm:f>Helibase_Master_Sheet!$B$3:$B$33</xm:f>
          </x14:formula1>
          <xm:sqref>B14 B3 B24 B33</xm:sqref>
        </x14:dataValidation>
        <x14:dataValidation type="list" allowBlank="1" showInputMessage="1" showErrorMessage="1" xr:uid="{FCB8AA99-8E5C-4923-8B42-B5CBD6783FF4}">
          <x14:formula1>
            <xm:f>Helibase_Master_Sheet!$G$3:$G$104</xm:f>
          </x14:formula1>
          <xm:sqref>C3:C41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D6CE3-C2ED-4A15-8BAF-0E649916D926}">
  <sheetPr codeName="Sheet11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59</v>
      </c>
    </row>
    <row r="2" spans="1:1" x14ac:dyDescent="0.25">
      <c r="A2" t="s">
        <v>60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1B2BA-C0F1-4FC8-A8CC-433B3DCCB2B2}">
  <sheetPr codeName="Sheet12"/>
  <dimension ref="B2:B4"/>
  <sheetViews>
    <sheetView workbookViewId="0">
      <selection activeCell="I29" sqref="I29"/>
    </sheetView>
  </sheetViews>
  <sheetFormatPr defaultRowHeight="15" x14ac:dyDescent="0.25"/>
  <sheetData>
    <row r="2" spans="2:2" x14ac:dyDescent="0.25">
      <c r="B2" s="17" t="s">
        <v>17</v>
      </c>
    </row>
    <row r="3" spans="2:2" x14ac:dyDescent="0.25">
      <c r="B3" s="18" t="s">
        <v>18</v>
      </c>
    </row>
    <row r="4" spans="2:2" x14ac:dyDescent="0.25">
      <c r="B4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Helibase_Master_Sheet</vt:lpstr>
      <vt:lpstr>Fire to Dip Grid</vt:lpstr>
      <vt:lpstr>Start</vt:lpstr>
      <vt:lpstr>Templet</vt:lpstr>
      <vt:lpstr>Sep_ 7</vt:lpstr>
      <vt:lpstr>Sep8th</vt:lpstr>
      <vt:lpstr>Sep9th</vt:lpstr>
      <vt:lpstr>Sep10th</vt:lpstr>
      <vt:lpstr>Sep11th</vt:lpstr>
      <vt:lpstr>Sep12th </vt:lpstr>
      <vt:lpstr>Sep13th</vt:lpstr>
      <vt:lpstr>Sep14th</vt:lpstr>
      <vt:lpstr>End</vt:lpstr>
      <vt:lpstr>Background data sheet ignore</vt:lpstr>
      <vt:lpstr>Dips_sites_X_rows</vt:lpstr>
      <vt:lpstr>grid_dip_names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Lilly</dc:creator>
  <cp:lastModifiedBy>James Lilly</cp:lastModifiedBy>
  <cp:lastPrinted>2025-09-11T02:09:09Z</cp:lastPrinted>
  <dcterms:created xsi:type="dcterms:W3CDTF">2025-09-09T01:47:52Z</dcterms:created>
  <dcterms:modified xsi:type="dcterms:W3CDTF">2025-09-16T16:09:54Z</dcterms:modified>
</cp:coreProperties>
</file>